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9\Desktop\These\Data\TEM\Data\July2024\"/>
    </mc:Choice>
  </mc:AlternateContent>
  <xr:revisionPtr revIDLastSave="0" documentId="13_ncr:1_{6E27C8D8-EDCC-4FDB-8E17-B5C947DD313F}" xr6:coauthVersionLast="47" xr6:coauthVersionMax="47" xr10:uidLastSave="{00000000-0000-0000-0000-000000000000}"/>
  <bookViews>
    <workbookView xWindow="-120" yWindow="-120" windowWidth="29040" windowHeight="15720" activeTab="2" xr2:uid="{D64DAAB6-9789-44B5-A57D-491D3C667E4E}"/>
  </bookViews>
  <sheets>
    <sheet name="Sumup" sheetId="7" r:id="rId1"/>
    <sheet name="RN199" sheetId="1" r:id="rId2"/>
    <sheet name="RN6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39" i="1" l="1"/>
  <c r="S338" i="1"/>
  <c r="S337" i="1"/>
  <c r="S336" i="1"/>
  <c r="S335" i="1"/>
  <c r="S334" i="1"/>
  <c r="S333" i="1"/>
  <c r="S332" i="1"/>
  <c r="S331" i="1"/>
  <c r="S330" i="1"/>
  <c r="S340" i="1" s="1"/>
  <c r="S322" i="1"/>
  <c r="P331" i="1"/>
  <c r="P332" i="1" s="1"/>
  <c r="P333" i="1" s="1"/>
  <c r="P334" i="1" s="1"/>
  <c r="P335" i="1" s="1"/>
  <c r="P336" i="1" s="1"/>
  <c r="P337" i="1" s="1"/>
  <c r="P338" i="1" s="1"/>
  <c r="P339" i="1" s="1"/>
  <c r="Q339" i="1" s="1"/>
  <c r="Q336" i="1" l="1"/>
  <c r="Q338" i="1"/>
  <c r="Q335" i="1"/>
  <c r="Q334" i="1"/>
  <c r="Q332" i="1"/>
  <c r="Q331" i="1"/>
  <c r="Q337" i="1"/>
  <c r="Q333" i="1"/>
  <c r="Q317" i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P317" i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S327" i="1"/>
  <c r="S326" i="1"/>
  <c r="S325" i="1"/>
  <c r="S324" i="1"/>
  <c r="S323" i="1"/>
  <c r="S321" i="1"/>
  <c r="S320" i="1"/>
  <c r="S319" i="1"/>
  <c r="S318" i="1"/>
  <c r="S317" i="1"/>
  <c r="S316" i="1"/>
  <c r="S328" i="1" s="1"/>
  <c r="S312" i="1"/>
  <c r="S311" i="1"/>
  <c r="F14" i="7"/>
  <c r="E14" i="7"/>
  <c r="D14" i="7"/>
  <c r="C14" i="7"/>
  <c r="F13" i="7"/>
  <c r="E13" i="7"/>
  <c r="D13" i="7"/>
  <c r="C13" i="7"/>
  <c r="F12" i="7"/>
  <c r="E12" i="7"/>
  <c r="D12" i="7"/>
  <c r="C12" i="7"/>
  <c r="F11" i="7"/>
  <c r="E11" i="7"/>
  <c r="F10" i="7"/>
  <c r="E10" i="7"/>
  <c r="D11" i="7"/>
  <c r="C11" i="7"/>
  <c r="D10" i="7"/>
  <c r="C10" i="7"/>
  <c r="F9" i="7"/>
  <c r="E9" i="7"/>
  <c r="D9" i="7"/>
  <c r="C9" i="7"/>
  <c r="F8" i="7"/>
  <c r="E8" i="7"/>
  <c r="D8" i="7"/>
  <c r="C8" i="7"/>
  <c r="F7" i="7"/>
  <c r="E7" i="7"/>
  <c r="D7" i="7"/>
  <c r="C7" i="7"/>
  <c r="F6" i="7"/>
  <c r="E6" i="7"/>
  <c r="D6" i="7"/>
  <c r="C6" i="7"/>
  <c r="F5" i="7"/>
  <c r="E5" i="7"/>
  <c r="D5" i="7"/>
  <c r="C5" i="7"/>
  <c r="E4" i="7"/>
  <c r="D4" i="7"/>
  <c r="F4" i="7"/>
  <c r="C4" i="7"/>
  <c r="F3" i="7"/>
  <c r="E3" i="7"/>
  <c r="D3" i="7"/>
  <c r="C3" i="7"/>
  <c r="F2" i="7"/>
  <c r="E2" i="7"/>
  <c r="D2" i="7"/>
  <c r="C2" i="7"/>
</calcChain>
</file>

<file path=xl/sharedStrings.xml><?xml version="1.0" encoding="utf-8"?>
<sst xmlns="http://schemas.openxmlformats.org/spreadsheetml/2006/main" count="58" uniqueCount="21">
  <si>
    <t>0eq</t>
  </si>
  <si>
    <t>Length (nm)</t>
  </si>
  <si>
    <t>0.2eq</t>
  </si>
  <si>
    <t>0.3eq</t>
  </si>
  <si>
    <t>0.4eq</t>
  </si>
  <si>
    <t>0.5eq</t>
  </si>
  <si>
    <t>Section diameter (nm)</t>
  </si>
  <si>
    <t>0.8eq</t>
  </si>
  <si>
    <t>2eq</t>
  </si>
  <si>
    <t>Ag equ</t>
  </si>
  <si>
    <t>Au NP</t>
  </si>
  <si>
    <t>RN199</t>
  </si>
  <si>
    <t>Error (nm)</t>
  </si>
  <si>
    <t>Total</t>
  </si>
  <si>
    <t>MIN</t>
  </si>
  <si>
    <t>MAX</t>
  </si>
  <si>
    <t>Taille min (nm)</t>
  </si>
  <si>
    <t>Taille max (nm)</t>
  </si>
  <si>
    <t>Distribution de taille</t>
  </si>
  <si>
    <t>Population</t>
  </si>
  <si>
    <t>RN62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</si>
</sst>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2" borderId="6" applyNumberFormat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2" borderId="14" xfId="3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2" borderId="24" xfId="3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3" borderId="4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2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" fillId="2" borderId="3" xfId="1" applyBorder="1" applyAlignment="1">
      <alignment vertical="center"/>
    </xf>
    <xf numFmtId="0" fontId="0" fillId="0" borderId="0" xfId="0" applyAlignment="1">
      <alignment vertical="center"/>
    </xf>
    <xf numFmtId="0" fontId="1" fillId="2" borderId="7" xfId="1" applyBorder="1" applyAlignment="1">
      <alignment horizontal="center" vertical="center"/>
    </xf>
    <xf numFmtId="0" fontId="6" fillId="5" borderId="26" xfId="5" applyFont="1" applyBorder="1" applyAlignment="1">
      <alignment horizontal="center" vertical="center"/>
    </xf>
    <xf numFmtId="0" fontId="6" fillId="5" borderId="12" xfId="5" applyFont="1" applyBorder="1" applyAlignment="1">
      <alignment horizontal="center" vertical="center"/>
    </xf>
    <xf numFmtId="0" fontId="7" fillId="4" borderId="13" xfId="4" applyFont="1" applyBorder="1" applyAlignment="1">
      <alignment horizontal="center" vertical="center"/>
    </xf>
    <xf numFmtId="0" fontId="6" fillId="5" borderId="27" xfId="5" applyFont="1" applyBorder="1" applyAlignment="1">
      <alignment horizontal="center" vertical="center"/>
    </xf>
    <xf numFmtId="0" fontId="6" fillId="5" borderId="10" xfId="5" applyFont="1" applyBorder="1" applyAlignment="1">
      <alignment horizontal="center" vertical="center"/>
    </xf>
    <xf numFmtId="0" fontId="7" fillId="4" borderId="11" xfId="4" applyFont="1" applyBorder="1" applyAlignment="1">
      <alignment horizontal="center" vertical="center"/>
    </xf>
    <xf numFmtId="0" fontId="1" fillId="2" borderId="26" xfId="1" applyBorder="1" applyAlignment="1">
      <alignment horizontal="center" vertical="center"/>
    </xf>
    <xf numFmtId="0" fontId="1" fillId="2" borderId="12" xfId="1" applyBorder="1" applyAlignment="1">
      <alignment horizontal="center" vertical="center"/>
    </xf>
    <xf numFmtId="0" fontId="1" fillId="2" borderId="13" xfId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28" xfId="3" applyBorder="1" applyAlignment="1">
      <alignment horizontal="center" vertical="center"/>
    </xf>
    <xf numFmtId="0" fontId="3" fillId="2" borderId="3" xfId="3" applyBorder="1" applyAlignment="1">
      <alignment horizontal="center" vertical="center"/>
    </xf>
    <xf numFmtId="0" fontId="1" fillId="2" borderId="28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0" fontId="3" fillId="2" borderId="27" xfId="3" applyBorder="1" applyAlignment="1">
      <alignment horizontal="center" vertical="center"/>
    </xf>
    <xf numFmtId="0" fontId="3" fillId="2" borderId="10" xfId="3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2" borderId="6" xfId="3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" borderId="8" xfId="3" applyBorder="1" applyAlignment="1">
      <alignment horizontal="center" vertical="center"/>
    </xf>
    <xf numFmtId="0" fontId="3" fillId="2" borderId="3" xfId="3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6">
    <cellStyle name="Calcul" xfId="1" builtinId="22"/>
    <cellStyle name="Entrée" xfId="5" builtinId="20"/>
    <cellStyle name="Normal" xfId="0" builtinId="0"/>
    <cellStyle name="Satisfaisant" xfId="4" builtinId="26"/>
    <cellStyle name="Sortie" xfId="3" builtinId="21"/>
    <cellStyle name="Vérification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'RN199'!$P$316:$P$327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120</c:v>
                </c:pt>
                <c:pt idx="4">
                  <c:v>130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  <c:pt idx="11">
                  <c:v>200</c:v>
                </c:pt>
              </c:numCache>
            </c:numRef>
          </c:cat>
          <c:val>
            <c:numRef>
              <c:f>'RN199'!$S$316:$S$327</c:f>
              <c:numCache>
                <c:formatCode>General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16</c:v>
                </c:pt>
                <c:pt idx="3">
                  <c:v>210</c:v>
                </c:pt>
                <c:pt idx="4">
                  <c:v>57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1-4405-BB51-9B2B56C19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27"/>
        <c:axId val="69026415"/>
        <c:axId val="453083103"/>
      </c:barChart>
      <c:catAx>
        <c:axId val="690264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3083103"/>
        <c:crosses val="autoZero"/>
        <c:auto val="1"/>
        <c:lblAlgn val="ctr"/>
        <c:lblOffset val="100"/>
        <c:noMultiLvlLbl val="0"/>
      </c:catAx>
      <c:valAx>
        <c:axId val="453083103"/>
        <c:scaling>
          <c:orientation val="minMax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9026415"/>
        <c:crosses val="autoZero"/>
        <c:crossBetween val="between"/>
      </c:valAx>
      <c:spPr>
        <a:noFill/>
        <a:ln w="12700"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'RN199'!$P$330:$P$339</c:f>
              <c:numCache>
                <c:formatCode>General</c:formatCode>
                <c:ptCount val="10"/>
                <c:pt idx="0">
                  <c:v>120</c:v>
                </c:pt>
                <c:pt idx="1">
                  <c:v>121</c:v>
                </c:pt>
                <c:pt idx="2">
                  <c:v>122</c:v>
                </c:pt>
                <c:pt idx="3">
                  <c:v>123</c:v>
                </c:pt>
                <c:pt idx="4">
                  <c:v>124</c:v>
                </c:pt>
                <c:pt idx="5">
                  <c:v>125</c:v>
                </c:pt>
                <c:pt idx="6">
                  <c:v>126</c:v>
                </c:pt>
                <c:pt idx="7">
                  <c:v>127</c:v>
                </c:pt>
                <c:pt idx="8">
                  <c:v>128</c:v>
                </c:pt>
                <c:pt idx="9">
                  <c:v>129</c:v>
                </c:pt>
              </c:numCache>
            </c:numRef>
          </c:cat>
          <c:val>
            <c:numRef>
              <c:f>'RN199'!$S$330:$S$339</c:f>
              <c:numCache>
                <c:formatCode>General</c:formatCode>
                <c:ptCount val="10"/>
                <c:pt idx="0">
                  <c:v>11</c:v>
                </c:pt>
                <c:pt idx="1">
                  <c:v>13</c:v>
                </c:pt>
                <c:pt idx="2">
                  <c:v>19</c:v>
                </c:pt>
                <c:pt idx="3">
                  <c:v>20</c:v>
                </c:pt>
                <c:pt idx="4">
                  <c:v>22</c:v>
                </c:pt>
                <c:pt idx="5">
                  <c:v>18</c:v>
                </c:pt>
                <c:pt idx="6">
                  <c:v>27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B-42B7-9FB0-6DDDFF3E0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26415"/>
        <c:axId val="453083103"/>
      </c:barChart>
      <c:catAx>
        <c:axId val="69026415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3083103"/>
        <c:crosses val="autoZero"/>
        <c:auto val="1"/>
        <c:lblAlgn val="ctr"/>
        <c:lblOffset val="100"/>
        <c:noMultiLvlLbl val="0"/>
      </c:catAx>
      <c:valAx>
        <c:axId val="453083103"/>
        <c:scaling>
          <c:orientation val="minMax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127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9026415"/>
        <c:crosses val="autoZero"/>
        <c:crossBetween val="between"/>
      </c:valAx>
      <c:spPr>
        <a:noFill/>
        <a:ln w="12700"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</xdr:colOff>
      <xdr:row>314</xdr:row>
      <xdr:rowOff>60959</xdr:rowOff>
    </xdr:from>
    <xdr:to>
      <xdr:col>14</xdr:col>
      <xdr:colOff>2857</xdr:colOff>
      <xdr:row>327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4BB7B68-7FFC-4448-958E-C54DCEA6F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328</xdr:row>
      <xdr:rowOff>0</xdr:rowOff>
    </xdr:from>
    <xdr:to>
      <xdr:col>13</xdr:col>
      <xdr:colOff>1358265</xdr:colOff>
      <xdr:row>340</xdr:row>
      <xdr:rowOff>123826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9F13AFE-6975-454C-8C48-CD7CD2C43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E260-FD5B-406E-B324-0D530C1027C7}">
  <dimension ref="A1:F14"/>
  <sheetViews>
    <sheetView workbookViewId="0">
      <selection activeCell="K12" sqref="K12"/>
    </sheetView>
  </sheetViews>
  <sheetFormatPr baseColWidth="10" defaultRowHeight="15" x14ac:dyDescent="0.25"/>
  <cols>
    <col min="2" max="2" width="11.7109375" bestFit="1" customWidth="1"/>
    <col min="3" max="3" width="13.42578125" bestFit="1" customWidth="1"/>
    <col min="4" max="4" width="12.42578125" bestFit="1" customWidth="1"/>
    <col min="5" max="6" width="20.85546875" customWidth="1"/>
  </cols>
  <sheetData>
    <row r="1" spans="1:6" ht="15.75" thickBot="1" x14ac:dyDescent="0.3">
      <c r="A1" s="2" t="s">
        <v>10</v>
      </c>
      <c r="B1" s="5" t="s">
        <v>9</v>
      </c>
      <c r="C1" s="5" t="s">
        <v>1</v>
      </c>
      <c r="D1" s="5" t="s">
        <v>12</v>
      </c>
      <c r="E1" s="5" t="s">
        <v>6</v>
      </c>
      <c r="F1" s="5" t="s">
        <v>12</v>
      </c>
    </row>
    <row r="2" spans="1:6" x14ac:dyDescent="0.25">
      <c r="A2" s="19" t="s">
        <v>11</v>
      </c>
      <c r="B2" s="3">
        <v>0</v>
      </c>
      <c r="C2" s="6">
        <f>AVERAGE('RN199'!A3:A124)</f>
        <v>98.07179508196721</v>
      </c>
      <c r="D2" s="7">
        <f>_xlfn.STDEV.S('RN199'!A3:A124)</f>
        <v>2.4688672777910754</v>
      </c>
      <c r="E2" s="7">
        <f>AVERAGE('RN199'!B3:B137)</f>
        <v>32.182903703703701</v>
      </c>
      <c r="F2" s="8">
        <f>_xlfn.STDEV.S('RN199'!B3:B137)</f>
        <v>1.2159242898789067</v>
      </c>
    </row>
    <row r="3" spans="1:6" x14ac:dyDescent="0.25">
      <c r="A3" s="20"/>
      <c r="B3" s="18">
        <v>0.2</v>
      </c>
      <c r="C3" s="9">
        <f>AVERAGE('RN199'!D3:D83)</f>
        <v>100.08316049382714</v>
      </c>
      <c r="D3" s="9">
        <f>_xlfn.STDEV.S('RN199'!D3:D83)</f>
        <v>2.6614030860468612</v>
      </c>
      <c r="E3" s="9">
        <f>AVERAGE('RN199'!E3:E99)</f>
        <v>32.891494845360818</v>
      </c>
      <c r="F3" s="10">
        <f>_xlfn.STDEV.S('RN199'!E3:E99)</f>
        <v>1.2434871089308963</v>
      </c>
    </row>
    <row r="4" spans="1:6" x14ac:dyDescent="0.25">
      <c r="A4" s="20"/>
      <c r="B4" s="18">
        <v>0.3</v>
      </c>
      <c r="C4" s="9">
        <f>AVERAGE('RN199'!G3:G94)</f>
        <v>98.563597826086948</v>
      </c>
      <c r="D4" s="11">
        <f>_xlfn.STDEV.S('RN199'!G3:G94)</f>
        <v>2.8203994497692961</v>
      </c>
      <c r="E4" s="11">
        <f>AVERAGE('RN199'!E3:E99)</f>
        <v>32.891494845360818</v>
      </c>
      <c r="F4" s="10">
        <f>_xlfn.STDEV.S('RN199'!E3:E99)</f>
        <v>1.2434871089308963</v>
      </c>
    </row>
    <row r="5" spans="1:6" x14ac:dyDescent="0.25">
      <c r="A5" s="20"/>
      <c r="B5" s="18">
        <v>0.4</v>
      </c>
      <c r="C5" s="9">
        <f>AVERAGE('RN199'!J3:J141)</f>
        <v>100.38880575539572</v>
      </c>
      <c r="D5" s="11">
        <f>_xlfn.STDEV.S('RN199'!J3:J141)</f>
        <v>2.6541605645806987</v>
      </c>
      <c r="E5" s="11">
        <f>AVERAGE('RN199'!K3:K156)</f>
        <v>32.635701298701328</v>
      </c>
      <c r="F5" s="10">
        <f>_xlfn.STDEV.S('RN199'!K3:K156)</f>
        <v>1.148857358620216</v>
      </c>
    </row>
    <row r="6" spans="1:6" x14ac:dyDescent="0.25">
      <c r="A6" s="20"/>
      <c r="B6" s="18">
        <v>0.5</v>
      </c>
      <c r="C6" s="9">
        <f>AVERAGE('RN199'!M3:M169)</f>
        <v>100.2145269461078</v>
      </c>
      <c r="D6" s="11">
        <f>_xlfn.STDEV.S('RN199'!M3:M169)</f>
        <v>2.5719067977041394</v>
      </c>
      <c r="E6" s="11">
        <f>AVERAGE('RN199'!N3:N129)</f>
        <v>32.654858267716548</v>
      </c>
      <c r="F6" s="10">
        <f>_xlfn.STDEV.S('RN199'!N3:N129)</f>
        <v>0.89437892545174258</v>
      </c>
    </row>
    <row r="7" spans="1:6" x14ac:dyDescent="0.25">
      <c r="A7" s="20"/>
      <c r="B7" s="18">
        <v>0.8</v>
      </c>
      <c r="C7" s="9">
        <f>AVERAGE('RN199'!P3:P138)</f>
        <v>100.88294117647062</v>
      </c>
      <c r="D7" s="11">
        <f>_xlfn.STDEV.S('RN199'!P3:P138)</f>
        <v>2.4191187491398773</v>
      </c>
      <c r="E7" s="11">
        <f>AVERAGE('RN199'!Q3:Q165)</f>
        <v>32.591300613496941</v>
      </c>
      <c r="F7" s="10">
        <f>_xlfn.STDEV.S('RN199'!Q3:Q165)</f>
        <v>1.2807420887761067</v>
      </c>
    </row>
    <row r="8" spans="1:6" ht="15.75" thickBot="1" x14ac:dyDescent="0.3">
      <c r="A8" s="21"/>
      <c r="B8" s="4">
        <v>2</v>
      </c>
      <c r="C8" s="12">
        <f>AVERAGE('RN199'!S3:S300)</f>
        <v>125.48713758389262</v>
      </c>
      <c r="D8" s="13">
        <f>_xlfn.STDEV.S('RN199'!S3:S300)</f>
        <v>8.2795470275255365</v>
      </c>
      <c r="E8" s="13">
        <f>AVERAGE('RN199'!T3:T310)</f>
        <v>32.646064935064956</v>
      </c>
      <c r="F8" s="14">
        <f>_xlfn.STDEV.S('RN199'!T3:T310)</f>
        <v>2.1886505775976586</v>
      </c>
    </row>
    <row r="9" spans="1:6" x14ac:dyDescent="0.25">
      <c r="A9" s="19" t="s">
        <v>20</v>
      </c>
      <c r="B9" s="17">
        <v>0</v>
      </c>
      <c r="C9" s="6">
        <f>AVERAGE('RN62'!A3:A222)</f>
        <v>151.79024090909095</v>
      </c>
      <c r="D9" s="15">
        <f>_xlfn.STDEV.S('RN62'!A3:A222)</f>
        <v>4.2854649775862006</v>
      </c>
      <c r="E9" s="15">
        <f>AVERAGE('RN62'!B3:B274)</f>
        <v>47.267272058823544</v>
      </c>
      <c r="F9" s="8">
        <f>_xlfn.STDEV.S('RN62'!B3:B274)</f>
        <v>2.0945078681742206</v>
      </c>
    </row>
    <row r="10" spans="1:6" x14ac:dyDescent="0.25">
      <c r="A10" s="20"/>
      <c r="B10" s="18">
        <v>0.3</v>
      </c>
      <c r="C10" s="9">
        <f>AVERAGE('RN62'!D3:D98)</f>
        <v>147.27988541666667</v>
      </c>
      <c r="D10" s="11">
        <f>_xlfn.STDEV.S('RN62'!D3:D98)</f>
        <v>4.1438121016885994</v>
      </c>
      <c r="E10" s="11">
        <f>AVERAGE('RN62'!E3:E136)</f>
        <v>46.713761194029871</v>
      </c>
      <c r="F10" s="10">
        <f>_xlfn.STDEV.S('RN62'!E3:E136)</f>
        <v>2.0220415209554266</v>
      </c>
    </row>
    <row r="11" spans="1:6" x14ac:dyDescent="0.25">
      <c r="A11" s="20"/>
      <c r="B11" s="18">
        <v>0.4</v>
      </c>
      <c r="C11" s="9">
        <f>AVERAGE('RN62'!G3:G114)</f>
        <v>149.32408928571428</v>
      </c>
      <c r="D11" s="11">
        <f>_xlfn.STDEV.S('RN62'!G3:G114)</f>
        <v>3.7039075678579674</v>
      </c>
      <c r="E11" s="11">
        <f>AVERAGE('RN62'!H3:H163)</f>
        <v>47.257285714285722</v>
      </c>
      <c r="F11" s="10">
        <f>_xlfn.STDEV.S('RN62'!H3:H163)</f>
        <v>1.8750153680322574</v>
      </c>
    </row>
    <row r="12" spans="1:6" x14ac:dyDescent="0.25">
      <c r="A12" s="20"/>
      <c r="B12" s="18">
        <v>0.5</v>
      </c>
      <c r="C12" s="9">
        <f>AVERAGE('RN62'!J3:J48)</f>
        <v>146.83013043478257</v>
      </c>
      <c r="D12" s="11">
        <f>_xlfn.STDEV.S('RN62'!J3:J48)</f>
        <v>3.7736084211192376</v>
      </c>
      <c r="E12" s="11">
        <f>AVERAGE('RN62'!K3:K82)</f>
        <v>46.155899999999995</v>
      </c>
      <c r="F12" s="10">
        <f>_xlfn.STDEV.S('RN62'!K3:K82)</f>
        <v>1.8253678151976636</v>
      </c>
    </row>
    <row r="13" spans="1:6" x14ac:dyDescent="0.25">
      <c r="A13" s="20"/>
      <c r="B13" s="18">
        <v>0.8</v>
      </c>
      <c r="C13" s="9">
        <f>AVERAGE('RN62'!M3:M75)</f>
        <v>152.04036986301372</v>
      </c>
      <c r="D13" s="11">
        <f>_xlfn.STDEV.S('RN62'!M3:M75)</f>
        <v>3.8452331330379015</v>
      </c>
      <c r="E13" s="11">
        <f>AVERAGE('RN62'!N3:N81)</f>
        <v>47.854999999999997</v>
      </c>
      <c r="F13" s="10">
        <f>_xlfn.STDEV.S('RN62'!N3:N81)</f>
        <v>1.569951485450001</v>
      </c>
    </row>
    <row r="14" spans="1:6" ht="15.75" thickBot="1" x14ac:dyDescent="0.3">
      <c r="A14" s="21"/>
      <c r="B14" s="16">
        <v>2</v>
      </c>
      <c r="C14" s="12">
        <f>AVERAGE('RN62'!P3:P66)</f>
        <v>189.62281249999995</v>
      </c>
      <c r="D14" s="13">
        <f>_xlfn.STDEV.S('RN62'!P3:P66)</f>
        <v>11.021515085943609</v>
      </c>
      <c r="E14" s="13">
        <f>AVERAGE('RN62'!Q3:Q61)</f>
        <v>46.864152542372878</v>
      </c>
      <c r="F14" s="14">
        <f>_xlfn.STDEV.S('RN62'!Q3:Q61)</f>
        <v>2.9699328496621011</v>
      </c>
    </row>
  </sheetData>
  <mergeCells count="2">
    <mergeCell ref="A2:A8"/>
    <mergeCell ref="A9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BE62-8874-4BAD-B7CC-9CA851EBF355}">
  <dimension ref="A1:U340"/>
  <sheetViews>
    <sheetView zoomScaleNormal="100" workbookViewId="0">
      <selection activeCell="A2" sqref="A1:T1048576"/>
    </sheetView>
  </sheetViews>
  <sheetFormatPr baseColWidth="10" defaultRowHeight="15" x14ac:dyDescent="0.25"/>
  <cols>
    <col min="1" max="1" width="11.42578125" style="23"/>
    <col min="2" max="2" width="22.28515625" style="23" customWidth="1"/>
    <col min="3" max="3" width="3.42578125" style="23" customWidth="1"/>
    <col min="4" max="4" width="11.5703125" style="23"/>
    <col min="5" max="5" width="20.85546875" style="23" customWidth="1"/>
    <col min="6" max="6" width="3.42578125" style="23" customWidth="1"/>
    <col min="7" max="7" width="11.5703125" style="23"/>
    <col min="8" max="8" width="20.42578125" style="23" customWidth="1"/>
    <col min="9" max="9" width="3.42578125" style="23" customWidth="1"/>
    <col min="10" max="10" width="11.5703125" style="23" customWidth="1"/>
    <col min="11" max="11" width="20.42578125" style="23" customWidth="1"/>
    <col min="12" max="12" width="3.42578125" style="23" customWidth="1"/>
    <col min="13" max="13" width="11.5703125" style="23"/>
    <col min="14" max="14" width="20" style="23" customWidth="1"/>
    <col min="15" max="15" width="3.42578125" style="23" customWidth="1"/>
    <col min="16" max="16" width="14.85546875" style="23" customWidth="1"/>
    <col min="17" max="17" width="19.85546875" style="23" customWidth="1"/>
    <col min="18" max="18" width="3.42578125" style="23" customWidth="1"/>
    <col min="19" max="19" width="11.5703125" style="23" customWidth="1"/>
    <col min="20" max="20" width="20.28515625" style="23" customWidth="1"/>
    <col min="21" max="21" width="11.5703125" style="1"/>
  </cols>
  <sheetData>
    <row r="1" spans="1:20" ht="16.5" thickTop="1" thickBot="1" x14ac:dyDescent="0.3">
      <c r="A1" s="22" t="s">
        <v>0</v>
      </c>
      <c r="B1" s="22"/>
      <c r="D1" s="24" t="s">
        <v>2</v>
      </c>
      <c r="E1" s="24"/>
      <c r="G1" s="24" t="s">
        <v>3</v>
      </c>
      <c r="H1" s="24"/>
      <c r="J1" s="24" t="s">
        <v>4</v>
      </c>
      <c r="K1" s="24"/>
      <c r="M1" s="24" t="s">
        <v>5</v>
      </c>
      <c r="N1" s="24"/>
      <c r="P1" s="24" t="s">
        <v>7</v>
      </c>
      <c r="Q1" s="24"/>
      <c r="S1" s="24" t="s">
        <v>8</v>
      </c>
      <c r="T1" s="24"/>
    </row>
    <row r="2" spans="1:20" ht="15.75" thickTop="1" x14ac:dyDescent="0.25">
      <c r="A2" s="25" t="s">
        <v>1</v>
      </c>
      <c r="B2" s="25" t="s">
        <v>6</v>
      </c>
      <c r="D2" s="25" t="s">
        <v>1</v>
      </c>
      <c r="E2" s="25" t="s">
        <v>6</v>
      </c>
      <c r="G2" s="25" t="s">
        <v>1</v>
      </c>
      <c r="H2" s="25" t="s">
        <v>6</v>
      </c>
      <c r="J2" s="25" t="s">
        <v>1</v>
      </c>
      <c r="K2" s="25" t="s">
        <v>6</v>
      </c>
      <c r="M2" s="25" t="s">
        <v>1</v>
      </c>
      <c r="N2" s="25" t="s">
        <v>6</v>
      </c>
      <c r="P2" s="25" t="s">
        <v>1</v>
      </c>
      <c r="Q2" s="25" t="s">
        <v>6</v>
      </c>
      <c r="S2" s="25" t="s">
        <v>1</v>
      </c>
      <c r="T2" s="25" t="s">
        <v>6</v>
      </c>
    </row>
    <row r="3" spans="1:20" x14ac:dyDescent="0.25">
      <c r="A3" s="27">
        <v>99.09</v>
      </c>
      <c r="B3" s="27">
        <v>31.664999999999999</v>
      </c>
      <c r="D3" s="27">
        <v>101.99299999999999</v>
      </c>
      <c r="E3" s="27">
        <v>34.255000000000003</v>
      </c>
      <c r="G3" s="27">
        <v>99.566999999999993</v>
      </c>
      <c r="H3" s="27">
        <v>32.622999999999998</v>
      </c>
      <c r="J3" s="27">
        <v>101.232</v>
      </c>
      <c r="K3" s="27">
        <v>32.779000000000003</v>
      </c>
      <c r="M3" s="27">
        <v>99.31</v>
      </c>
      <c r="N3" s="27">
        <v>31.503</v>
      </c>
      <c r="P3" s="27">
        <v>100.63200000000001</v>
      </c>
      <c r="Q3" s="27">
        <v>33.134</v>
      </c>
      <c r="S3" s="27">
        <v>120.36</v>
      </c>
      <c r="T3" s="27">
        <v>31.747</v>
      </c>
    </row>
    <row r="4" spans="1:20" x14ac:dyDescent="0.25">
      <c r="A4" s="27">
        <v>99.712999999999994</v>
      </c>
      <c r="B4" s="27">
        <v>32.798999999999999</v>
      </c>
      <c r="D4" s="27">
        <v>99.876000000000005</v>
      </c>
      <c r="E4" s="27">
        <v>33.155000000000001</v>
      </c>
      <c r="G4" s="27">
        <v>97.724000000000004</v>
      </c>
      <c r="H4" s="27">
        <v>33.177</v>
      </c>
      <c r="J4" s="27">
        <v>99.62</v>
      </c>
      <c r="K4" s="27">
        <v>32.902999999999999</v>
      </c>
      <c r="M4" s="27">
        <v>96.09</v>
      </c>
      <c r="N4" s="27">
        <v>31.388000000000002</v>
      </c>
      <c r="P4" s="27">
        <v>97.766999999999996</v>
      </c>
      <c r="Q4" s="27">
        <v>31.335000000000001</v>
      </c>
      <c r="S4" s="27">
        <v>124.813</v>
      </c>
      <c r="T4" s="27">
        <v>33.543999999999997</v>
      </c>
    </row>
    <row r="5" spans="1:20" x14ac:dyDescent="0.25">
      <c r="A5" s="27">
        <v>98.287999999999997</v>
      </c>
      <c r="B5" s="27">
        <v>31.908000000000001</v>
      </c>
      <c r="D5" s="27">
        <v>97.069000000000003</v>
      </c>
      <c r="E5" s="27">
        <v>33.076000000000001</v>
      </c>
      <c r="G5" s="27">
        <v>97.784999999999997</v>
      </c>
      <c r="H5" s="27">
        <v>29.57</v>
      </c>
      <c r="J5" s="27">
        <v>99.293999999999997</v>
      </c>
      <c r="K5" s="27">
        <v>33.314999999999998</v>
      </c>
      <c r="M5" s="27">
        <v>94.033000000000001</v>
      </c>
      <c r="N5" s="27">
        <v>32.892000000000003</v>
      </c>
      <c r="P5" s="27">
        <v>97.018000000000001</v>
      </c>
      <c r="Q5" s="27">
        <v>32.481000000000002</v>
      </c>
      <c r="S5" s="27">
        <v>129.87200000000001</v>
      </c>
      <c r="T5" s="27">
        <v>30.385999999999999</v>
      </c>
    </row>
    <row r="6" spans="1:20" x14ac:dyDescent="0.25">
      <c r="A6" s="27">
        <v>99.45</v>
      </c>
      <c r="B6" s="27">
        <v>32.838000000000001</v>
      </c>
      <c r="D6" s="27">
        <v>98.986000000000004</v>
      </c>
      <c r="E6" s="27">
        <v>32.152999999999999</v>
      </c>
      <c r="G6" s="27">
        <v>100.10599999999999</v>
      </c>
      <c r="H6" s="27">
        <v>30.495000000000001</v>
      </c>
      <c r="J6" s="27">
        <v>102.25700000000001</v>
      </c>
      <c r="K6" s="27">
        <v>32.448999999999998</v>
      </c>
      <c r="M6" s="27">
        <v>98.117000000000004</v>
      </c>
      <c r="N6" s="27">
        <v>34.087000000000003</v>
      </c>
      <c r="P6" s="27">
        <v>96.793999999999997</v>
      </c>
      <c r="Q6" s="27">
        <v>32.383000000000003</v>
      </c>
      <c r="S6" s="27">
        <v>134.958</v>
      </c>
      <c r="T6" s="27">
        <v>32.277999999999999</v>
      </c>
    </row>
    <row r="7" spans="1:20" x14ac:dyDescent="0.25">
      <c r="A7" s="27">
        <v>95.311999999999998</v>
      </c>
      <c r="B7" s="27">
        <v>32.051000000000002</v>
      </c>
      <c r="D7" s="27">
        <v>100.711</v>
      </c>
      <c r="E7" s="27">
        <v>34.570999999999998</v>
      </c>
      <c r="G7" s="27">
        <v>99.417000000000002</v>
      </c>
      <c r="H7" s="27">
        <v>33.503</v>
      </c>
      <c r="J7" s="27">
        <v>102.23699999999999</v>
      </c>
      <c r="K7" s="27">
        <v>32.89</v>
      </c>
      <c r="M7" s="27">
        <v>103.33199999999999</v>
      </c>
      <c r="N7" s="27">
        <v>31.827999999999999</v>
      </c>
      <c r="P7" s="27">
        <v>100.91500000000001</v>
      </c>
      <c r="Q7" s="27">
        <v>29.887</v>
      </c>
      <c r="S7" s="27">
        <v>120.967</v>
      </c>
      <c r="T7" s="27">
        <v>29.747</v>
      </c>
    </row>
    <row r="8" spans="1:20" x14ac:dyDescent="0.25">
      <c r="A8" s="27">
        <v>97.787999999999997</v>
      </c>
      <c r="B8" s="27">
        <v>31.984000000000002</v>
      </c>
      <c r="D8" s="27">
        <v>99.278999999999996</v>
      </c>
      <c r="E8" s="27">
        <v>33.304000000000002</v>
      </c>
      <c r="G8" s="27">
        <v>97.983000000000004</v>
      </c>
      <c r="H8" s="27">
        <v>33.383000000000003</v>
      </c>
      <c r="J8" s="27">
        <v>102.116</v>
      </c>
      <c r="K8" s="27">
        <v>32.819000000000003</v>
      </c>
      <c r="M8" s="27">
        <v>91.713999999999999</v>
      </c>
      <c r="N8" s="27">
        <v>31.981999999999999</v>
      </c>
      <c r="P8" s="27">
        <v>98.921000000000006</v>
      </c>
      <c r="Q8" s="27">
        <v>33.283000000000001</v>
      </c>
      <c r="S8" s="27">
        <v>132.91300000000001</v>
      </c>
      <c r="T8" s="27">
        <v>31.018999999999998</v>
      </c>
    </row>
    <row r="9" spans="1:20" x14ac:dyDescent="0.25">
      <c r="A9" s="27">
        <v>101.271</v>
      </c>
      <c r="B9" s="27">
        <v>32.710999999999999</v>
      </c>
      <c r="D9" s="27">
        <v>100.227</v>
      </c>
      <c r="E9" s="27">
        <v>31.773</v>
      </c>
      <c r="G9" s="27">
        <v>98.649000000000001</v>
      </c>
      <c r="H9" s="27">
        <v>33.79</v>
      </c>
      <c r="J9" s="27">
        <v>101.333</v>
      </c>
      <c r="K9" s="27">
        <v>30.655000000000001</v>
      </c>
      <c r="M9" s="27">
        <v>101.575</v>
      </c>
      <c r="N9" s="27">
        <v>32.927</v>
      </c>
      <c r="P9" s="27">
        <v>97.05</v>
      </c>
      <c r="Q9" s="27">
        <v>32.771999999999998</v>
      </c>
      <c r="S9" s="27">
        <v>127.848</v>
      </c>
      <c r="T9" s="27">
        <v>31.038</v>
      </c>
    </row>
    <row r="10" spans="1:20" x14ac:dyDescent="0.25">
      <c r="A10" s="27">
        <v>98.825999999999993</v>
      </c>
      <c r="B10" s="27">
        <v>33.371000000000002</v>
      </c>
      <c r="D10" s="27">
        <v>100.491</v>
      </c>
      <c r="E10" s="27">
        <v>33.371000000000002</v>
      </c>
      <c r="G10" s="27">
        <v>90.061000000000007</v>
      </c>
      <c r="H10" s="27">
        <v>31.704999999999998</v>
      </c>
      <c r="J10" s="27">
        <v>99.893000000000001</v>
      </c>
      <c r="K10" s="27">
        <v>31.164999999999999</v>
      </c>
      <c r="M10" s="27">
        <v>101.38800000000001</v>
      </c>
      <c r="N10" s="27">
        <v>32.216999999999999</v>
      </c>
      <c r="P10" s="27">
        <v>96.546000000000006</v>
      </c>
      <c r="Q10" s="27">
        <v>31.783000000000001</v>
      </c>
      <c r="S10" s="27">
        <v>129.74700000000001</v>
      </c>
      <c r="T10" s="27">
        <v>27.876999999999999</v>
      </c>
    </row>
    <row r="11" spans="1:20" x14ac:dyDescent="0.25">
      <c r="A11" s="27">
        <v>93.409000000000006</v>
      </c>
      <c r="B11" s="27">
        <v>31.398</v>
      </c>
      <c r="D11" s="27">
        <v>99.126999999999995</v>
      </c>
      <c r="E11" s="27">
        <v>33.652000000000001</v>
      </c>
      <c r="G11" s="27">
        <v>98.975999999999999</v>
      </c>
      <c r="H11" s="27">
        <v>30.289000000000001</v>
      </c>
      <c r="J11" s="27">
        <v>96.513999999999996</v>
      </c>
      <c r="K11" s="27">
        <v>31.079000000000001</v>
      </c>
      <c r="M11" s="27">
        <v>101.935</v>
      </c>
      <c r="N11" s="27">
        <v>32.491</v>
      </c>
      <c r="P11" s="27">
        <v>99.459000000000003</v>
      </c>
      <c r="Q11" s="27">
        <v>32.287999999999997</v>
      </c>
      <c r="S11" s="27">
        <v>124.07599999999999</v>
      </c>
      <c r="T11" s="27">
        <v>28.509</v>
      </c>
    </row>
    <row r="12" spans="1:20" x14ac:dyDescent="0.25">
      <c r="A12" s="27">
        <v>95.4</v>
      </c>
      <c r="B12" s="27">
        <v>34.585999999999999</v>
      </c>
      <c r="D12" s="27">
        <v>97.188000000000002</v>
      </c>
      <c r="E12" s="27">
        <v>33.503</v>
      </c>
      <c r="G12" s="27">
        <v>98.066000000000003</v>
      </c>
      <c r="H12" s="27">
        <v>30.78</v>
      </c>
      <c r="J12" s="27">
        <v>99.072000000000003</v>
      </c>
      <c r="K12" s="27">
        <v>30.391999999999999</v>
      </c>
      <c r="M12" s="27">
        <v>99.879000000000005</v>
      </c>
      <c r="N12" s="27">
        <v>33.817</v>
      </c>
      <c r="P12" s="27">
        <v>101.146</v>
      </c>
      <c r="Q12" s="27">
        <v>34.055</v>
      </c>
      <c r="S12" s="27">
        <v>123.458</v>
      </c>
      <c r="T12" s="27">
        <v>28.509</v>
      </c>
    </row>
    <row r="13" spans="1:20" x14ac:dyDescent="0.25">
      <c r="A13" s="27">
        <v>96.268000000000001</v>
      </c>
      <c r="B13" s="27">
        <v>32.180999999999997</v>
      </c>
      <c r="D13" s="27">
        <v>103.52200000000001</v>
      </c>
      <c r="E13" s="27">
        <v>29.622</v>
      </c>
      <c r="G13" s="27">
        <v>97.004000000000005</v>
      </c>
      <c r="H13" s="27">
        <v>32.357999999999997</v>
      </c>
      <c r="J13" s="27">
        <v>95.759</v>
      </c>
      <c r="K13" s="27">
        <v>31.62</v>
      </c>
      <c r="M13" s="27">
        <v>97.947000000000003</v>
      </c>
      <c r="N13" s="27">
        <v>32.968000000000004</v>
      </c>
      <c r="P13" s="27">
        <v>97.846000000000004</v>
      </c>
      <c r="Q13" s="27">
        <v>32.069000000000003</v>
      </c>
      <c r="S13" s="27">
        <v>126.078</v>
      </c>
      <c r="T13" s="27">
        <v>29.774000000000001</v>
      </c>
    </row>
    <row r="14" spans="1:20" x14ac:dyDescent="0.25">
      <c r="A14" s="27">
        <v>97.593000000000004</v>
      </c>
      <c r="B14" s="27">
        <v>31.475999999999999</v>
      </c>
      <c r="D14" s="27">
        <v>102.67</v>
      </c>
      <c r="E14" s="27">
        <v>32.786000000000001</v>
      </c>
      <c r="G14" s="27">
        <v>96.206000000000003</v>
      </c>
      <c r="H14" s="27">
        <v>31.231000000000002</v>
      </c>
      <c r="J14" s="27">
        <v>98.879000000000005</v>
      </c>
      <c r="K14" s="27">
        <v>31.196000000000002</v>
      </c>
      <c r="M14" s="27">
        <v>96.38</v>
      </c>
      <c r="N14" s="27">
        <v>33.235999999999997</v>
      </c>
      <c r="P14" s="27">
        <v>101.637</v>
      </c>
      <c r="Q14" s="27">
        <v>34.74</v>
      </c>
      <c r="S14" s="27">
        <v>126.006</v>
      </c>
      <c r="T14" s="27">
        <v>36.125999999999998</v>
      </c>
    </row>
    <row r="15" spans="1:20" x14ac:dyDescent="0.25">
      <c r="A15" s="27">
        <v>98.108000000000004</v>
      </c>
      <c r="B15" s="27">
        <v>31.584</v>
      </c>
      <c r="D15" s="27">
        <v>99.27</v>
      </c>
      <c r="E15" s="27">
        <v>32.311999999999998</v>
      </c>
      <c r="G15" s="27">
        <v>98.247</v>
      </c>
      <c r="H15" s="27">
        <v>30.434999999999999</v>
      </c>
      <c r="J15" s="27">
        <v>93.364999999999995</v>
      </c>
      <c r="K15" s="27">
        <v>30.742999999999999</v>
      </c>
      <c r="M15" s="27">
        <v>102.005</v>
      </c>
      <c r="N15" s="27">
        <v>32.756</v>
      </c>
      <c r="P15" s="27">
        <v>98.575999999999993</v>
      </c>
      <c r="Q15" s="27">
        <v>32.728999999999999</v>
      </c>
      <c r="S15" s="27">
        <v>119.756</v>
      </c>
      <c r="T15" s="27">
        <v>36.003999999999998</v>
      </c>
    </row>
    <row r="16" spans="1:20" x14ac:dyDescent="0.25">
      <c r="A16" s="27">
        <v>96.281999999999996</v>
      </c>
      <c r="B16" s="27">
        <v>31.667000000000002</v>
      </c>
      <c r="D16" s="27">
        <v>100.705</v>
      </c>
      <c r="E16" s="27">
        <v>32.914000000000001</v>
      </c>
      <c r="G16" s="27">
        <v>99.716999999999999</v>
      </c>
      <c r="H16" s="27">
        <v>32.804000000000002</v>
      </c>
      <c r="J16" s="27">
        <v>97.864999999999995</v>
      </c>
      <c r="K16" s="27">
        <v>31.913</v>
      </c>
      <c r="M16" s="27">
        <v>103.477</v>
      </c>
      <c r="N16" s="27">
        <v>33.116</v>
      </c>
      <c r="P16" s="27">
        <v>98.221999999999994</v>
      </c>
      <c r="Q16" s="27">
        <v>31.869</v>
      </c>
      <c r="S16" s="27">
        <v>126.408</v>
      </c>
      <c r="T16" s="27">
        <v>33.835999999999999</v>
      </c>
    </row>
    <row r="17" spans="1:20" x14ac:dyDescent="0.25">
      <c r="A17" s="27">
        <v>94.274000000000001</v>
      </c>
      <c r="B17" s="27">
        <v>33.505000000000003</v>
      </c>
      <c r="D17" s="27">
        <v>98.944999999999993</v>
      </c>
      <c r="E17" s="27">
        <v>31.925000000000001</v>
      </c>
      <c r="G17" s="27">
        <v>97.655000000000001</v>
      </c>
      <c r="H17" s="27">
        <v>31.024000000000001</v>
      </c>
      <c r="J17" s="27">
        <v>96.296000000000006</v>
      </c>
      <c r="K17" s="27">
        <v>31.87</v>
      </c>
      <c r="M17" s="27">
        <v>98.983000000000004</v>
      </c>
      <c r="N17" s="27">
        <v>31.628</v>
      </c>
      <c r="P17" s="27">
        <v>103.006</v>
      </c>
      <c r="Q17" s="27">
        <v>31.890999999999998</v>
      </c>
      <c r="S17" s="27">
        <v>124.63200000000001</v>
      </c>
      <c r="T17" s="27">
        <v>32.433</v>
      </c>
    </row>
    <row r="18" spans="1:20" x14ac:dyDescent="0.25">
      <c r="A18" s="27">
        <v>95.816000000000003</v>
      </c>
      <c r="B18" s="27">
        <v>30.937000000000001</v>
      </c>
      <c r="D18" s="27">
        <v>99.494</v>
      </c>
      <c r="E18" s="27">
        <v>34.793999999999997</v>
      </c>
      <c r="G18" s="27">
        <v>97.986000000000004</v>
      </c>
      <c r="H18" s="27">
        <v>31.398</v>
      </c>
      <c r="J18" s="27">
        <v>98.72</v>
      </c>
      <c r="K18" s="27">
        <v>34.008000000000003</v>
      </c>
      <c r="M18" s="27">
        <v>97.736000000000004</v>
      </c>
      <c r="N18" s="27">
        <v>32.4</v>
      </c>
      <c r="P18" s="27">
        <v>98.974000000000004</v>
      </c>
      <c r="Q18" s="27">
        <v>32.634</v>
      </c>
      <c r="S18" s="27">
        <v>127.97499999999999</v>
      </c>
      <c r="T18" s="27">
        <v>32.543999999999997</v>
      </c>
    </row>
    <row r="19" spans="1:20" x14ac:dyDescent="0.25">
      <c r="A19" s="27">
        <v>98.647000000000006</v>
      </c>
      <c r="B19" s="27">
        <v>32.646999999999998</v>
      </c>
      <c r="D19" s="27">
        <v>99.805000000000007</v>
      </c>
      <c r="E19" s="27">
        <v>33.436999999999998</v>
      </c>
      <c r="G19" s="27">
        <v>97.245000000000005</v>
      </c>
      <c r="H19" s="27">
        <v>29.748000000000001</v>
      </c>
      <c r="J19" s="27">
        <v>98.162000000000006</v>
      </c>
      <c r="K19" s="27">
        <v>33.790999999999997</v>
      </c>
      <c r="M19" s="27">
        <v>100.126</v>
      </c>
      <c r="N19" s="27">
        <v>31.050999999999998</v>
      </c>
      <c r="P19" s="27">
        <v>98.168999999999997</v>
      </c>
      <c r="Q19" s="27">
        <v>32.875999999999998</v>
      </c>
      <c r="S19" s="27">
        <v>97.542000000000002</v>
      </c>
      <c r="T19" s="27">
        <v>34.259</v>
      </c>
    </row>
    <row r="20" spans="1:20" x14ac:dyDescent="0.25">
      <c r="A20" s="27">
        <v>98.966999999999999</v>
      </c>
      <c r="B20" s="27">
        <v>31.757000000000001</v>
      </c>
      <c r="D20" s="27">
        <v>97.176000000000002</v>
      </c>
      <c r="E20" s="27">
        <v>33.4</v>
      </c>
      <c r="G20" s="27">
        <v>100.931</v>
      </c>
      <c r="H20" s="27">
        <v>30.489000000000001</v>
      </c>
      <c r="J20" s="27">
        <v>101.515</v>
      </c>
      <c r="K20" s="27">
        <v>32.654000000000003</v>
      </c>
      <c r="M20" s="27">
        <v>98.902000000000001</v>
      </c>
      <c r="N20" s="27">
        <v>32.593000000000004</v>
      </c>
      <c r="P20" s="27">
        <v>97.414000000000001</v>
      </c>
      <c r="Q20" s="27">
        <v>33.091999999999999</v>
      </c>
      <c r="S20" s="27">
        <v>91.266000000000005</v>
      </c>
      <c r="T20" s="27">
        <v>30.550999999999998</v>
      </c>
    </row>
    <row r="21" spans="1:20" x14ac:dyDescent="0.25">
      <c r="A21" s="27">
        <v>100.60599999999999</v>
      </c>
      <c r="B21" s="27">
        <v>32.383000000000003</v>
      </c>
      <c r="D21" s="27">
        <v>98.286000000000001</v>
      </c>
      <c r="E21" s="27">
        <v>33.436999999999998</v>
      </c>
      <c r="G21" s="27">
        <v>94.962000000000003</v>
      </c>
      <c r="H21" s="27">
        <v>31.157</v>
      </c>
      <c r="J21" s="27">
        <v>101.62</v>
      </c>
      <c r="K21" s="27">
        <v>33.296999999999997</v>
      </c>
      <c r="M21" s="27">
        <v>102.742</v>
      </c>
      <c r="N21" s="27">
        <v>32.652999999999999</v>
      </c>
      <c r="P21" s="27">
        <v>101.468</v>
      </c>
      <c r="Q21" s="27">
        <v>37.921999999999997</v>
      </c>
      <c r="S21" s="27">
        <v>128.85599999999999</v>
      </c>
      <c r="T21" s="27">
        <v>32.673000000000002</v>
      </c>
    </row>
    <row r="22" spans="1:20" x14ac:dyDescent="0.25">
      <c r="A22" s="27">
        <v>94.772999999999996</v>
      </c>
      <c r="B22" s="27">
        <v>33.375999999999998</v>
      </c>
      <c r="D22" s="27">
        <v>101.279</v>
      </c>
      <c r="E22" s="27">
        <v>32.595999999999997</v>
      </c>
      <c r="G22" s="27">
        <v>100.38800000000001</v>
      </c>
      <c r="H22" s="27">
        <v>32.212000000000003</v>
      </c>
      <c r="J22" s="27">
        <v>104.264</v>
      </c>
      <c r="K22" s="27">
        <v>33.283000000000001</v>
      </c>
      <c r="M22" s="27">
        <v>100.139</v>
      </c>
      <c r="N22" s="27">
        <v>33.259</v>
      </c>
      <c r="P22" s="27">
        <v>99.731999999999999</v>
      </c>
      <c r="Q22" s="27">
        <v>32.835999999999999</v>
      </c>
      <c r="S22" s="27">
        <v>125.22199999999999</v>
      </c>
      <c r="T22" s="27">
        <v>32.893000000000001</v>
      </c>
    </row>
    <row r="23" spans="1:20" x14ac:dyDescent="0.25">
      <c r="A23" s="27">
        <v>97.873000000000005</v>
      </c>
      <c r="B23" s="27">
        <v>33.045999999999999</v>
      </c>
      <c r="D23" s="27">
        <v>99.727000000000004</v>
      </c>
      <c r="E23" s="27">
        <v>32.533000000000001</v>
      </c>
      <c r="G23" s="27">
        <v>95.572999999999993</v>
      </c>
      <c r="H23" s="27">
        <v>31.145</v>
      </c>
      <c r="J23" s="27">
        <v>99.271000000000001</v>
      </c>
      <c r="K23" s="27">
        <v>31.806000000000001</v>
      </c>
      <c r="M23" s="27">
        <v>102.203</v>
      </c>
      <c r="N23" s="27">
        <v>33.661000000000001</v>
      </c>
      <c r="P23" s="27">
        <v>96.471000000000004</v>
      </c>
      <c r="Q23" s="27">
        <v>32.707000000000001</v>
      </c>
      <c r="S23" s="27">
        <v>122.512</v>
      </c>
      <c r="T23" s="27">
        <v>34.271000000000001</v>
      </c>
    </row>
    <row r="24" spans="1:20" x14ac:dyDescent="0.25">
      <c r="A24" s="27">
        <v>99.209000000000003</v>
      </c>
      <c r="B24" s="27">
        <v>29.949000000000002</v>
      </c>
      <c r="D24" s="27">
        <v>97.14</v>
      </c>
      <c r="E24" s="27">
        <v>30.766999999999999</v>
      </c>
      <c r="G24" s="27">
        <v>99.876000000000005</v>
      </c>
      <c r="H24" s="27">
        <v>32.79</v>
      </c>
      <c r="J24" s="27">
        <v>103.593</v>
      </c>
      <c r="K24" s="27">
        <v>32.488999999999997</v>
      </c>
      <c r="M24" s="27">
        <v>100.97799999999999</v>
      </c>
      <c r="N24" s="27">
        <v>31.143999999999998</v>
      </c>
      <c r="P24" s="27">
        <v>101.523</v>
      </c>
      <c r="Q24" s="27">
        <v>30.004999999999999</v>
      </c>
      <c r="S24" s="27">
        <v>129.72800000000001</v>
      </c>
      <c r="T24" s="27">
        <v>31.422999999999998</v>
      </c>
    </row>
    <row r="25" spans="1:20" x14ac:dyDescent="0.25">
      <c r="A25" s="27">
        <v>99.453999999999994</v>
      </c>
      <c r="B25" s="27">
        <v>35.356000000000002</v>
      </c>
      <c r="D25" s="27">
        <v>101.02800000000001</v>
      </c>
      <c r="E25" s="27">
        <v>34.908999999999999</v>
      </c>
      <c r="G25" s="27">
        <v>95.204999999999998</v>
      </c>
      <c r="H25" s="27">
        <v>30.81</v>
      </c>
      <c r="J25" s="27">
        <v>103.029</v>
      </c>
      <c r="K25" s="27">
        <v>32.097000000000001</v>
      </c>
      <c r="M25" s="27">
        <v>100.706</v>
      </c>
      <c r="N25" s="27">
        <v>32.627000000000002</v>
      </c>
      <c r="P25" s="27">
        <v>101.88800000000001</v>
      </c>
      <c r="Q25" s="27">
        <v>32.369</v>
      </c>
      <c r="S25" s="27">
        <v>130.84100000000001</v>
      </c>
      <c r="T25" s="27">
        <v>29.175999999999998</v>
      </c>
    </row>
    <row r="26" spans="1:20" x14ac:dyDescent="0.25">
      <c r="A26" s="27">
        <v>100.94</v>
      </c>
      <c r="B26" s="27">
        <v>31.864000000000001</v>
      </c>
      <c r="D26" s="27">
        <v>101.395</v>
      </c>
      <c r="E26" s="27">
        <v>31.631</v>
      </c>
      <c r="G26" s="27">
        <v>93.251000000000005</v>
      </c>
      <c r="H26" s="27">
        <v>30.411999999999999</v>
      </c>
      <c r="J26" s="27">
        <v>101.82</v>
      </c>
      <c r="K26" s="27">
        <v>33.295999999999999</v>
      </c>
      <c r="M26" s="27">
        <v>99.448999999999998</v>
      </c>
      <c r="N26" s="27">
        <v>32.627000000000002</v>
      </c>
      <c r="P26" s="27">
        <v>99.293000000000006</v>
      </c>
      <c r="Q26" s="27">
        <v>33.380000000000003</v>
      </c>
      <c r="S26" s="27">
        <v>130.34</v>
      </c>
      <c r="T26" s="27">
        <v>33.159999999999997</v>
      </c>
    </row>
    <row r="27" spans="1:20" x14ac:dyDescent="0.25">
      <c r="A27" s="27">
        <v>97.721999999999994</v>
      </c>
      <c r="B27" s="27">
        <v>32.838000000000001</v>
      </c>
      <c r="D27" s="27">
        <v>100.08</v>
      </c>
      <c r="E27" s="27">
        <v>32.401000000000003</v>
      </c>
      <c r="G27" s="27">
        <v>94.05</v>
      </c>
      <c r="H27" s="27">
        <v>30.265999999999998</v>
      </c>
      <c r="J27" s="27">
        <v>99.415000000000006</v>
      </c>
      <c r="K27" s="27">
        <v>32.533000000000001</v>
      </c>
      <c r="M27" s="27">
        <v>101.61</v>
      </c>
      <c r="N27" s="27">
        <v>34.127000000000002</v>
      </c>
      <c r="P27" s="27">
        <v>100.35299999999999</v>
      </c>
      <c r="Q27" s="27">
        <v>31.890999999999998</v>
      </c>
      <c r="S27" s="27">
        <v>120.965</v>
      </c>
      <c r="T27" s="27">
        <v>30.550999999999998</v>
      </c>
    </row>
    <row r="28" spans="1:20" x14ac:dyDescent="0.25">
      <c r="A28" s="27">
        <v>101.02800000000001</v>
      </c>
      <c r="B28" s="27">
        <v>30.895</v>
      </c>
      <c r="D28" s="27">
        <v>99.828999999999994</v>
      </c>
      <c r="E28" s="27">
        <v>32.770000000000003</v>
      </c>
      <c r="G28" s="27">
        <v>96.15</v>
      </c>
      <c r="H28" s="27">
        <v>29.891999999999999</v>
      </c>
      <c r="J28" s="27">
        <v>100.506</v>
      </c>
      <c r="K28" s="27">
        <v>31.428999999999998</v>
      </c>
      <c r="M28" s="27">
        <v>100.688</v>
      </c>
      <c r="N28" s="27">
        <v>33.195999999999998</v>
      </c>
      <c r="P28" s="27">
        <v>104.628</v>
      </c>
      <c r="Q28" s="27">
        <v>32.156999999999996</v>
      </c>
      <c r="S28" s="27">
        <v>130.40600000000001</v>
      </c>
      <c r="T28" s="27">
        <v>31.829000000000001</v>
      </c>
    </row>
    <row r="29" spans="1:20" x14ac:dyDescent="0.25">
      <c r="A29" s="27">
        <v>96.968000000000004</v>
      </c>
      <c r="B29" s="27">
        <v>31.734000000000002</v>
      </c>
      <c r="D29" s="27">
        <v>98.456000000000003</v>
      </c>
      <c r="E29" s="27">
        <v>32.091999999999999</v>
      </c>
      <c r="G29" s="27">
        <v>99.998999999999995</v>
      </c>
      <c r="H29" s="27">
        <v>28.437999999999999</v>
      </c>
      <c r="J29" s="27">
        <v>103.032</v>
      </c>
      <c r="K29" s="27">
        <v>32.075000000000003</v>
      </c>
      <c r="M29" s="27">
        <v>98.203000000000003</v>
      </c>
      <c r="N29" s="27">
        <v>32.628999999999998</v>
      </c>
      <c r="P29" s="27">
        <v>99.69</v>
      </c>
      <c r="Q29" s="27">
        <v>32.728999999999999</v>
      </c>
      <c r="S29" s="27">
        <v>129.89500000000001</v>
      </c>
      <c r="T29" s="27">
        <v>32.085999999999999</v>
      </c>
    </row>
    <row r="30" spans="1:20" x14ac:dyDescent="0.25">
      <c r="A30" s="27">
        <v>98.3</v>
      </c>
      <c r="B30" s="27">
        <v>32.645000000000003</v>
      </c>
      <c r="D30" s="27">
        <v>102.075</v>
      </c>
      <c r="E30" s="27">
        <v>32.948999999999998</v>
      </c>
      <c r="G30" s="27">
        <v>98.501000000000005</v>
      </c>
      <c r="H30" s="27">
        <v>32.917999999999999</v>
      </c>
      <c r="J30" s="27">
        <v>98.408000000000001</v>
      </c>
      <c r="K30" s="27">
        <v>34.305</v>
      </c>
      <c r="M30" s="27">
        <v>101.99299999999999</v>
      </c>
      <c r="N30" s="27">
        <v>33.427999999999997</v>
      </c>
      <c r="P30" s="27">
        <v>102.893</v>
      </c>
      <c r="Q30" s="27">
        <v>31.869</v>
      </c>
      <c r="S30" s="27">
        <v>126.58199999999999</v>
      </c>
      <c r="T30" s="27">
        <v>30.864000000000001</v>
      </c>
    </row>
    <row r="31" spans="1:20" x14ac:dyDescent="0.25">
      <c r="A31" s="27">
        <v>100.97199999999999</v>
      </c>
      <c r="B31" s="27">
        <v>34.161999999999999</v>
      </c>
      <c r="D31" s="27">
        <v>100.31100000000001</v>
      </c>
      <c r="E31" s="27">
        <v>31.34</v>
      </c>
      <c r="G31" s="27">
        <v>98.581999999999994</v>
      </c>
      <c r="H31" s="27">
        <v>29.984999999999999</v>
      </c>
      <c r="J31" s="27">
        <v>100.44199999999999</v>
      </c>
      <c r="K31" s="27">
        <v>31.667999999999999</v>
      </c>
      <c r="M31" s="27">
        <v>99.81</v>
      </c>
      <c r="N31" s="27">
        <v>31.693999999999999</v>
      </c>
      <c r="P31" s="27">
        <v>100.708</v>
      </c>
      <c r="Q31" s="27">
        <v>31.018999999999998</v>
      </c>
      <c r="S31" s="27">
        <v>130.33799999999999</v>
      </c>
      <c r="T31" s="27">
        <v>28.620999999999999</v>
      </c>
    </row>
    <row r="32" spans="1:20" x14ac:dyDescent="0.25">
      <c r="A32" s="27">
        <v>99.391999999999996</v>
      </c>
      <c r="B32" s="27">
        <v>30.587</v>
      </c>
      <c r="D32" s="27">
        <v>97.622</v>
      </c>
      <c r="E32" s="27">
        <v>34.095999999999997</v>
      </c>
      <c r="G32" s="27">
        <v>100.753</v>
      </c>
      <c r="H32" s="27">
        <v>30.106000000000002</v>
      </c>
      <c r="J32" s="27">
        <v>100.505</v>
      </c>
      <c r="K32" s="27">
        <v>32.732999999999997</v>
      </c>
      <c r="M32" s="27">
        <v>101.27500000000001</v>
      </c>
      <c r="N32" s="27">
        <v>31.91</v>
      </c>
      <c r="P32" s="27">
        <v>99.661000000000001</v>
      </c>
      <c r="Q32" s="27">
        <v>31.783000000000001</v>
      </c>
      <c r="S32" s="27">
        <v>127.694</v>
      </c>
      <c r="T32" s="27">
        <v>30.286999999999999</v>
      </c>
    </row>
    <row r="33" spans="1:20" x14ac:dyDescent="0.25">
      <c r="A33" s="27">
        <v>97.844999999999999</v>
      </c>
      <c r="B33" s="27">
        <v>32.439</v>
      </c>
      <c r="D33" s="27">
        <v>99.855999999999995</v>
      </c>
      <c r="E33" s="27">
        <v>31.029</v>
      </c>
      <c r="G33" s="27">
        <v>98.415999999999997</v>
      </c>
      <c r="H33" s="27">
        <v>29.739000000000001</v>
      </c>
      <c r="J33" s="27">
        <v>96.605000000000004</v>
      </c>
      <c r="K33" s="27">
        <v>32.564</v>
      </c>
      <c r="M33" s="27">
        <v>101.614</v>
      </c>
      <c r="N33" s="27">
        <v>33.859000000000002</v>
      </c>
      <c r="P33" s="27">
        <v>102.262</v>
      </c>
      <c r="Q33" s="27">
        <v>31.477</v>
      </c>
      <c r="S33" s="27">
        <v>120.086</v>
      </c>
      <c r="T33" s="27">
        <v>31.422999999999998</v>
      </c>
    </row>
    <row r="34" spans="1:20" x14ac:dyDescent="0.25">
      <c r="A34" s="27">
        <v>98.778999999999996</v>
      </c>
      <c r="B34" s="27">
        <v>33.131</v>
      </c>
      <c r="D34" s="27">
        <v>96.293999999999997</v>
      </c>
      <c r="E34" s="27">
        <v>32.268999999999998</v>
      </c>
      <c r="G34" s="27">
        <v>100.34399999999999</v>
      </c>
      <c r="H34" s="27">
        <v>31.978000000000002</v>
      </c>
      <c r="J34" s="27">
        <v>96.701999999999998</v>
      </c>
      <c r="K34" s="27">
        <v>32.713999999999999</v>
      </c>
      <c r="M34" s="27">
        <v>102.252</v>
      </c>
      <c r="N34" s="27">
        <v>31.079000000000001</v>
      </c>
      <c r="P34" s="27">
        <v>102.58199999999999</v>
      </c>
      <c r="Q34" s="27">
        <v>33.734000000000002</v>
      </c>
      <c r="S34" s="27">
        <v>129.315</v>
      </c>
      <c r="T34" s="27">
        <v>30.57</v>
      </c>
    </row>
    <row r="35" spans="1:20" x14ac:dyDescent="0.25">
      <c r="A35" s="27">
        <v>99.876000000000005</v>
      </c>
      <c r="B35" s="27">
        <v>34.283000000000001</v>
      </c>
      <c r="D35" s="27">
        <v>100.024</v>
      </c>
      <c r="E35" s="27">
        <v>32.091999999999999</v>
      </c>
      <c r="G35" s="27">
        <v>89.763000000000005</v>
      </c>
      <c r="H35" s="27">
        <v>33.369999999999997</v>
      </c>
      <c r="J35" s="27">
        <v>99.721000000000004</v>
      </c>
      <c r="K35" s="27">
        <v>33.427999999999997</v>
      </c>
      <c r="M35" s="27">
        <v>101.246</v>
      </c>
      <c r="N35" s="27">
        <v>31.882999999999999</v>
      </c>
      <c r="P35" s="27">
        <v>96.433000000000007</v>
      </c>
      <c r="Q35" s="27">
        <v>31.018999999999998</v>
      </c>
      <c r="S35" s="27">
        <v>123.916</v>
      </c>
      <c r="T35" s="27">
        <v>28.620999999999999</v>
      </c>
    </row>
    <row r="36" spans="1:20" x14ac:dyDescent="0.25">
      <c r="A36" s="27">
        <v>95.772999999999996</v>
      </c>
      <c r="B36" s="27">
        <v>31.571000000000002</v>
      </c>
      <c r="D36" s="27">
        <v>91.367000000000004</v>
      </c>
      <c r="E36" s="27">
        <v>35.023000000000003</v>
      </c>
      <c r="G36" s="27">
        <v>99.644000000000005</v>
      </c>
      <c r="H36" s="27">
        <v>33.759</v>
      </c>
      <c r="J36" s="27">
        <v>100.29900000000001</v>
      </c>
      <c r="K36" s="27">
        <v>30.748000000000001</v>
      </c>
      <c r="M36" s="27">
        <v>102.91500000000001</v>
      </c>
      <c r="N36" s="27">
        <v>32.462000000000003</v>
      </c>
      <c r="P36" s="27">
        <v>98.918000000000006</v>
      </c>
      <c r="Q36" s="27">
        <v>31.890999999999998</v>
      </c>
      <c r="S36" s="27">
        <v>124.89</v>
      </c>
      <c r="T36" s="27">
        <v>30.148</v>
      </c>
    </row>
    <row r="37" spans="1:20" x14ac:dyDescent="0.25">
      <c r="A37" s="27">
        <v>99.085999999999999</v>
      </c>
      <c r="B37" s="27">
        <v>33.441000000000003</v>
      </c>
      <c r="D37" s="27">
        <v>98.453000000000003</v>
      </c>
      <c r="E37" s="27">
        <v>33.356999999999999</v>
      </c>
      <c r="G37" s="27">
        <v>96.307000000000002</v>
      </c>
      <c r="H37" s="27">
        <v>31.95</v>
      </c>
      <c r="J37" s="27">
        <v>102.301</v>
      </c>
      <c r="K37" s="27">
        <v>30.081</v>
      </c>
      <c r="M37" s="27">
        <v>98.058000000000007</v>
      </c>
      <c r="N37" s="27">
        <v>32.914000000000001</v>
      </c>
      <c r="P37" s="27">
        <v>98.128</v>
      </c>
      <c r="Q37" s="27">
        <v>33.253</v>
      </c>
      <c r="S37" s="27">
        <v>112.38200000000001</v>
      </c>
      <c r="T37" s="27">
        <v>32.271999999999998</v>
      </c>
    </row>
    <row r="38" spans="1:20" x14ac:dyDescent="0.25">
      <c r="A38" s="27">
        <v>97.757000000000005</v>
      </c>
      <c r="B38" s="27">
        <v>32.587000000000003</v>
      </c>
      <c r="D38" s="27">
        <v>100.398</v>
      </c>
      <c r="E38" s="27">
        <v>35.122</v>
      </c>
      <c r="G38" s="27">
        <v>99.003</v>
      </c>
      <c r="H38" s="27">
        <v>33.194000000000003</v>
      </c>
      <c r="J38" s="27">
        <v>101.55</v>
      </c>
      <c r="K38" s="27">
        <v>31.555</v>
      </c>
      <c r="M38" s="27">
        <v>102.446</v>
      </c>
      <c r="N38" s="27">
        <v>34.381</v>
      </c>
      <c r="P38" s="27">
        <v>101.48099999999999</v>
      </c>
      <c r="Q38" s="27">
        <v>33.804000000000002</v>
      </c>
      <c r="S38" s="27">
        <v>132.80000000000001</v>
      </c>
      <c r="T38" s="27">
        <v>31.379000000000001</v>
      </c>
    </row>
    <row r="39" spans="1:20" x14ac:dyDescent="0.25">
      <c r="A39" s="27">
        <v>95.271000000000001</v>
      </c>
      <c r="B39" s="27">
        <v>34.034999999999997</v>
      </c>
      <c r="D39" s="27">
        <v>97.730999999999995</v>
      </c>
      <c r="E39" s="27">
        <v>34.343000000000004</v>
      </c>
      <c r="G39" s="27">
        <v>99.789000000000001</v>
      </c>
      <c r="H39" s="27">
        <v>30.07</v>
      </c>
      <c r="J39" s="27">
        <v>97.397999999999996</v>
      </c>
      <c r="K39" s="27">
        <v>32.061</v>
      </c>
      <c r="M39" s="27">
        <v>101.625</v>
      </c>
      <c r="N39" s="27">
        <v>32.911000000000001</v>
      </c>
      <c r="P39" s="27">
        <v>100.49299999999999</v>
      </c>
      <c r="Q39" s="27">
        <v>32.652999999999999</v>
      </c>
      <c r="S39" s="27">
        <v>129.822</v>
      </c>
      <c r="T39" s="27">
        <v>47.573999999999998</v>
      </c>
    </row>
    <row r="40" spans="1:20" x14ac:dyDescent="0.25">
      <c r="A40" s="27">
        <v>95.293999999999997</v>
      </c>
      <c r="B40" s="27">
        <v>32.567</v>
      </c>
      <c r="D40" s="27">
        <v>100.453</v>
      </c>
      <c r="E40" s="27">
        <v>33.034999999999997</v>
      </c>
      <c r="G40" s="27">
        <v>99.745999999999995</v>
      </c>
      <c r="H40" s="27">
        <v>33.177</v>
      </c>
      <c r="J40" s="27">
        <v>102.081</v>
      </c>
      <c r="K40" s="27">
        <v>34.131999999999998</v>
      </c>
      <c r="M40" s="27">
        <v>99.271000000000001</v>
      </c>
      <c r="N40" s="27">
        <v>32.677</v>
      </c>
      <c r="P40" s="27">
        <v>99.804000000000002</v>
      </c>
      <c r="Q40" s="27">
        <v>33.134</v>
      </c>
      <c r="S40" s="27">
        <v>126.47</v>
      </c>
      <c r="T40" s="27">
        <v>34.323</v>
      </c>
    </row>
    <row r="41" spans="1:20" x14ac:dyDescent="0.25">
      <c r="A41" s="27">
        <v>98.575000000000003</v>
      </c>
      <c r="B41" s="27">
        <v>31.681000000000001</v>
      </c>
      <c r="D41" s="27">
        <v>101.616</v>
      </c>
      <c r="E41" s="27">
        <v>34.878</v>
      </c>
      <c r="G41" s="27">
        <v>98.01</v>
      </c>
      <c r="H41" s="27">
        <v>33.777999999999999</v>
      </c>
      <c r="J41" s="27">
        <v>98.100999999999999</v>
      </c>
      <c r="K41" s="27">
        <v>34.383000000000003</v>
      </c>
      <c r="M41" s="27">
        <v>102.02500000000001</v>
      </c>
      <c r="N41" s="27">
        <v>31.928000000000001</v>
      </c>
      <c r="P41" s="27">
        <v>101.434</v>
      </c>
      <c r="Q41" s="27">
        <v>32.545000000000002</v>
      </c>
      <c r="S41" s="27">
        <v>133.08699999999999</v>
      </c>
      <c r="T41" s="27">
        <v>30.616</v>
      </c>
    </row>
    <row r="42" spans="1:20" x14ac:dyDescent="0.25">
      <c r="A42" s="27">
        <v>98.58</v>
      </c>
      <c r="B42" s="27">
        <v>31.175999999999998</v>
      </c>
      <c r="D42" s="27">
        <v>99.438999999999993</v>
      </c>
      <c r="E42" s="27">
        <v>32.631</v>
      </c>
      <c r="G42" s="27">
        <v>98.594999999999999</v>
      </c>
      <c r="H42" s="27">
        <v>33.218000000000004</v>
      </c>
      <c r="J42" s="27">
        <v>99.37</v>
      </c>
      <c r="K42" s="27">
        <v>31.186</v>
      </c>
      <c r="M42" s="27">
        <v>101.20399999999999</v>
      </c>
      <c r="N42" s="27">
        <v>32.415999999999997</v>
      </c>
      <c r="P42" s="27">
        <v>99.986000000000004</v>
      </c>
      <c r="Q42" s="27">
        <v>33.017000000000003</v>
      </c>
      <c r="S42" s="27">
        <v>128.298</v>
      </c>
      <c r="T42" s="27">
        <v>32.531999999999996</v>
      </c>
    </row>
    <row r="43" spans="1:20" x14ac:dyDescent="0.25">
      <c r="A43" s="27">
        <v>97.346999999999994</v>
      </c>
      <c r="B43" s="27">
        <v>33.814</v>
      </c>
      <c r="D43" s="27">
        <v>97.293000000000006</v>
      </c>
      <c r="E43" s="27">
        <v>29.888999999999999</v>
      </c>
      <c r="G43" s="27">
        <v>95.275999999999996</v>
      </c>
      <c r="H43" s="27">
        <v>33.886000000000003</v>
      </c>
      <c r="J43" s="27">
        <v>100.586</v>
      </c>
      <c r="K43" s="27">
        <v>34</v>
      </c>
      <c r="M43" s="27">
        <v>99.879000000000005</v>
      </c>
      <c r="N43" s="27">
        <v>31.067</v>
      </c>
      <c r="P43" s="27">
        <v>100.371</v>
      </c>
      <c r="Q43" s="27">
        <v>31.449000000000002</v>
      </c>
      <c r="S43" s="27">
        <v>127.611</v>
      </c>
      <c r="T43" s="27">
        <v>30.254000000000001</v>
      </c>
    </row>
    <row r="44" spans="1:20" x14ac:dyDescent="0.25">
      <c r="A44" s="27">
        <v>95.11</v>
      </c>
      <c r="B44" s="27">
        <v>31.53</v>
      </c>
      <c r="D44" s="27">
        <v>97.484999999999999</v>
      </c>
      <c r="E44" s="27">
        <v>33.704999999999998</v>
      </c>
      <c r="G44" s="27">
        <v>99.433000000000007</v>
      </c>
      <c r="H44" s="27">
        <v>30.832999999999998</v>
      </c>
      <c r="J44" s="27">
        <v>99.478999999999999</v>
      </c>
      <c r="K44" s="27">
        <v>34.51</v>
      </c>
      <c r="M44" s="27">
        <v>101.40600000000001</v>
      </c>
      <c r="N44" s="27">
        <v>32.110999999999997</v>
      </c>
      <c r="P44" s="27">
        <v>100.336</v>
      </c>
      <c r="Q44" s="27">
        <v>31.166</v>
      </c>
      <c r="S44" s="27">
        <v>130.99299999999999</v>
      </c>
      <c r="T44" s="27">
        <v>32.475999999999999</v>
      </c>
    </row>
    <row r="45" spans="1:20" x14ac:dyDescent="0.25">
      <c r="A45" s="27">
        <v>97.533000000000001</v>
      </c>
      <c r="B45" s="27">
        <v>30.88</v>
      </c>
      <c r="D45" s="27">
        <v>103.292</v>
      </c>
      <c r="E45" s="27">
        <v>33.268999999999998</v>
      </c>
      <c r="G45" s="27">
        <v>99.805999999999997</v>
      </c>
      <c r="H45" s="27">
        <v>32.667999999999999</v>
      </c>
      <c r="J45" s="27">
        <v>98.834999999999994</v>
      </c>
      <c r="K45" s="27">
        <v>33.488999999999997</v>
      </c>
      <c r="M45" s="27">
        <v>100.245</v>
      </c>
      <c r="N45" s="27">
        <v>31.027999999999999</v>
      </c>
      <c r="P45" s="27">
        <v>99.748000000000005</v>
      </c>
      <c r="Q45" s="27">
        <v>30.45</v>
      </c>
      <c r="S45" s="27">
        <v>128.523</v>
      </c>
      <c r="T45" s="27">
        <v>26.018999999999998</v>
      </c>
    </row>
    <row r="46" spans="1:20" x14ac:dyDescent="0.25">
      <c r="A46" s="27">
        <v>101.968</v>
      </c>
      <c r="B46" s="27">
        <v>31.298999999999999</v>
      </c>
      <c r="D46" s="27">
        <v>103.988</v>
      </c>
      <c r="E46" s="27">
        <v>32.645000000000003</v>
      </c>
      <c r="G46" s="27">
        <v>96.947999999999993</v>
      </c>
      <c r="H46" s="27">
        <v>32.697000000000003</v>
      </c>
      <c r="J46" s="27">
        <v>95.027000000000001</v>
      </c>
      <c r="K46" s="27">
        <v>32.304000000000002</v>
      </c>
      <c r="M46" s="27">
        <v>103.73699999999999</v>
      </c>
      <c r="N46" s="27">
        <v>34.28</v>
      </c>
      <c r="P46" s="27">
        <v>99.793999999999997</v>
      </c>
      <c r="Q46" s="27">
        <v>33.567</v>
      </c>
      <c r="S46" s="27">
        <v>120.90600000000001</v>
      </c>
      <c r="T46" s="27">
        <v>31.032</v>
      </c>
    </row>
    <row r="47" spans="1:20" x14ac:dyDescent="0.25">
      <c r="A47" s="27">
        <v>99.694999999999993</v>
      </c>
      <c r="B47" s="27">
        <v>32.545000000000002</v>
      </c>
      <c r="D47" s="27">
        <v>101.217</v>
      </c>
      <c r="E47" s="27">
        <v>32.954000000000001</v>
      </c>
      <c r="G47" s="27">
        <v>96.513000000000005</v>
      </c>
      <c r="H47" s="27">
        <v>33.357999999999997</v>
      </c>
      <c r="J47" s="27">
        <v>96.93</v>
      </c>
      <c r="K47" s="27">
        <v>33.595999999999997</v>
      </c>
      <c r="M47" s="27">
        <v>99.427000000000007</v>
      </c>
      <c r="N47" s="27">
        <v>31.93</v>
      </c>
      <c r="P47" s="27">
        <v>103.268</v>
      </c>
      <c r="Q47" s="27">
        <v>32.715000000000003</v>
      </c>
      <c r="S47" s="27">
        <v>127.254</v>
      </c>
      <c r="T47" s="27">
        <v>33.401000000000003</v>
      </c>
    </row>
    <row r="48" spans="1:20" x14ac:dyDescent="0.25">
      <c r="A48" s="27">
        <v>97.757000000000005</v>
      </c>
      <c r="B48" s="27">
        <v>29.628</v>
      </c>
      <c r="D48" s="27">
        <v>98.534999999999997</v>
      </c>
      <c r="E48" s="27">
        <v>33.287999999999997</v>
      </c>
      <c r="G48" s="27">
        <v>97.081000000000003</v>
      </c>
      <c r="H48" s="27">
        <v>31.39</v>
      </c>
      <c r="J48" s="27">
        <v>102.223</v>
      </c>
      <c r="K48" s="27">
        <v>32.643000000000001</v>
      </c>
      <c r="M48" s="27">
        <v>101.68</v>
      </c>
      <c r="N48" s="27">
        <v>32.512</v>
      </c>
      <c r="P48" s="27">
        <v>101.468</v>
      </c>
      <c r="Q48" s="27">
        <v>32.31</v>
      </c>
      <c r="S48" s="27">
        <v>124.09099999999999</v>
      </c>
      <c r="T48" s="27">
        <v>31.071000000000002</v>
      </c>
    </row>
    <row r="49" spans="1:20" x14ac:dyDescent="0.25">
      <c r="A49" s="27">
        <v>102.902</v>
      </c>
      <c r="B49" s="27">
        <v>32.517000000000003</v>
      </c>
      <c r="D49" s="27">
        <v>100.758</v>
      </c>
      <c r="E49" s="27">
        <v>31.936</v>
      </c>
      <c r="G49" s="27">
        <v>92.215000000000003</v>
      </c>
      <c r="H49" s="27">
        <v>31.244</v>
      </c>
      <c r="J49" s="27">
        <v>100.214</v>
      </c>
      <c r="K49" s="27">
        <v>31.832999999999998</v>
      </c>
      <c r="M49" s="27">
        <v>100.556</v>
      </c>
      <c r="N49" s="27">
        <v>31.712</v>
      </c>
      <c r="P49" s="27">
        <v>100.381</v>
      </c>
      <c r="Q49" s="27">
        <v>31.166</v>
      </c>
      <c r="S49" s="27">
        <v>122.94799999999999</v>
      </c>
      <c r="T49" s="27">
        <v>32.433</v>
      </c>
    </row>
    <row r="50" spans="1:20" x14ac:dyDescent="0.25">
      <c r="A50" s="27">
        <v>98.781000000000006</v>
      </c>
      <c r="B50" s="27">
        <v>29.966999999999999</v>
      </c>
      <c r="D50" s="27">
        <v>102.78</v>
      </c>
      <c r="E50" s="27">
        <v>34.01</v>
      </c>
      <c r="G50" s="27">
        <v>91.018000000000001</v>
      </c>
      <c r="H50" s="27">
        <v>31.347000000000001</v>
      </c>
      <c r="J50" s="27">
        <v>103.29600000000001</v>
      </c>
      <c r="K50" s="27">
        <v>33.542999999999999</v>
      </c>
      <c r="M50" s="27">
        <v>100.238</v>
      </c>
      <c r="N50" s="27">
        <v>33.005000000000003</v>
      </c>
      <c r="P50" s="27">
        <v>102.81100000000001</v>
      </c>
      <c r="Q50" s="27">
        <v>33.006999999999998</v>
      </c>
      <c r="S50" s="27">
        <v>127.342</v>
      </c>
      <c r="T50" s="27">
        <v>31.327000000000002</v>
      </c>
    </row>
    <row r="51" spans="1:20" x14ac:dyDescent="0.25">
      <c r="A51" s="27">
        <v>95.015000000000001</v>
      </c>
      <c r="B51" s="27">
        <v>31.782</v>
      </c>
      <c r="D51" s="27">
        <v>96.9</v>
      </c>
      <c r="E51" s="27">
        <v>32.036999999999999</v>
      </c>
      <c r="G51" s="27">
        <v>100.04300000000001</v>
      </c>
      <c r="H51" s="27">
        <v>30.707999999999998</v>
      </c>
      <c r="J51" s="27">
        <v>102.221</v>
      </c>
      <c r="K51" s="27">
        <v>33.360999999999997</v>
      </c>
      <c r="M51" s="27">
        <v>99.822999999999993</v>
      </c>
      <c r="N51" s="27">
        <v>31.783999999999999</v>
      </c>
      <c r="P51" s="27">
        <v>100.09099999999999</v>
      </c>
      <c r="Q51" s="27">
        <v>31.547000000000001</v>
      </c>
      <c r="S51" s="27">
        <v>128.005</v>
      </c>
      <c r="T51" s="27">
        <v>26.852</v>
      </c>
    </row>
    <row r="52" spans="1:20" x14ac:dyDescent="0.25">
      <c r="A52" s="27">
        <v>99.388999999999996</v>
      </c>
      <c r="B52" s="27">
        <v>32.018000000000001</v>
      </c>
      <c r="D52" s="27">
        <v>101.625</v>
      </c>
      <c r="E52" s="27">
        <v>31.035</v>
      </c>
      <c r="G52" s="27">
        <v>100.54</v>
      </c>
      <c r="H52" s="27">
        <v>30.867999999999999</v>
      </c>
      <c r="J52" s="27">
        <v>103.251</v>
      </c>
      <c r="K52" s="27">
        <v>34.362000000000002</v>
      </c>
      <c r="M52" s="27">
        <v>103.319</v>
      </c>
      <c r="N52" s="27">
        <v>31.675999999999998</v>
      </c>
      <c r="P52" s="27">
        <v>97.894999999999996</v>
      </c>
      <c r="Q52" s="27">
        <v>31.611000000000001</v>
      </c>
      <c r="S52" s="27">
        <v>124.998</v>
      </c>
      <c r="T52" s="27">
        <v>29.914999999999999</v>
      </c>
    </row>
    <row r="53" spans="1:20" x14ac:dyDescent="0.25">
      <c r="A53" s="27">
        <v>96.671000000000006</v>
      </c>
      <c r="B53" s="27">
        <v>31.690999999999999</v>
      </c>
      <c r="D53" s="27">
        <v>101.693</v>
      </c>
      <c r="E53" s="27">
        <v>31.71</v>
      </c>
      <c r="G53" s="27">
        <v>97.465000000000003</v>
      </c>
      <c r="H53" s="27">
        <v>31.908000000000001</v>
      </c>
      <c r="J53" s="27">
        <v>98.757999999999996</v>
      </c>
      <c r="K53" s="27">
        <v>31.670999999999999</v>
      </c>
      <c r="M53" s="27">
        <v>99.983999999999995</v>
      </c>
      <c r="N53" s="27">
        <v>31.631</v>
      </c>
      <c r="P53" s="27">
        <v>99.619</v>
      </c>
      <c r="Q53" s="27">
        <v>34.170999999999999</v>
      </c>
      <c r="S53" s="27">
        <v>126.622</v>
      </c>
      <c r="T53" s="27">
        <v>32.673000000000002</v>
      </c>
    </row>
    <row r="54" spans="1:20" x14ac:dyDescent="0.25">
      <c r="A54" s="27">
        <v>97.361999999999995</v>
      </c>
      <c r="B54" s="27">
        <v>30.937000000000001</v>
      </c>
      <c r="D54" s="27">
        <v>98.759</v>
      </c>
      <c r="E54" s="27">
        <v>33.417999999999999</v>
      </c>
      <c r="G54" s="27">
        <v>96.260999999999996</v>
      </c>
      <c r="H54" s="27">
        <v>31.713000000000001</v>
      </c>
      <c r="J54" s="27">
        <v>101.92400000000001</v>
      </c>
      <c r="K54" s="27">
        <v>32.543999999999997</v>
      </c>
      <c r="M54" s="27">
        <v>101.60599999999999</v>
      </c>
      <c r="N54" s="27">
        <v>32.174999999999997</v>
      </c>
      <c r="P54" s="27">
        <v>102.232</v>
      </c>
      <c r="Q54" s="27">
        <v>32.402000000000001</v>
      </c>
      <c r="S54" s="27">
        <v>126.497</v>
      </c>
      <c r="T54" s="27">
        <v>33.130000000000003</v>
      </c>
    </row>
    <row r="55" spans="1:20" x14ac:dyDescent="0.25">
      <c r="A55" s="27">
        <v>97.733000000000004</v>
      </c>
      <c r="B55" s="27">
        <v>32.472999999999999</v>
      </c>
      <c r="D55" s="27">
        <v>94.748000000000005</v>
      </c>
      <c r="E55" s="27">
        <v>36.454999999999998</v>
      </c>
      <c r="G55" s="27">
        <v>96.736999999999995</v>
      </c>
      <c r="H55" s="27">
        <v>31.983000000000001</v>
      </c>
      <c r="J55" s="27">
        <v>103.06100000000001</v>
      </c>
      <c r="K55" s="27">
        <v>32.201999999999998</v>
      </c>
      <c r="M55" s="27">
        <v>100.31</v>
      </c>
      <c r="N55" s="27">
        <v>33.835999999999999</v>
      </c>
      <c r="P55" s="27">
        <v>101.48099999999999</v>
      </c>
      <c r="Q55" s="27">
        <v>30.654</v>
      </c>
      <c r="S55" s="27">
        <v>127.44199999999999</v>
      </c>
      <c r="T55" s="27">
        <v>29.285</v>
      </c>
    </row>
    <row r="56" spans="1:20" x14ac:dyDescent="0.25">
      <c r="A56" s="27">
        <v>98.366</v>
      </c>
      <c r="B56" s="27">
        <v>31.03</v>
      </c>
      <c r="D56" s="27">
        <v>102.429</v>
      </c>
      <c r="E56" s="27">
        <v>32.323999999999998</v>
      </c>
      <c r="G56" s="27">
        <v>97.450999999999993</v>
      </c>
      <c r="H56" s="27">
        <v>30.995000000000001</v>
      </c>
      <c r="J56" s="27">
        <v>97.454999999999998</v>
      </c>
      <c r="K56" s="27">
        <v>31.73</v>
      </c>
      <c r="M56" s="27">
        <v>99.569000000000003</v>
      </c>
      <c r="N56" s="27">
        <v>33.804000000000002</v>
      </c>
      <c r="P56" s="27">
        <v>102.392</v>
      </c>
      <c r="Q56" s="27">
        <v>31.09</v>
      </c>
      <c r="S56" s="27">
        <v>121.764</v>
      </c>
      <c r="T56" s="27">
        <v>32.048000000000002</v>
      </c>
    </row>
    <row r="57" spans="1:20" x14ac:dyDescent="0.25">
      <c r="A57" s="27">
        <v>97.787999999999997</v>
      </c>
      <c r="B57" s="27">
        <v>34.192999999999998</v>
      </c>
      <c r="D57" s="27">
        <v>102.601</v>
      </c>
      <c r="E57" s="27">
        <v>30.661999999999999</v>
      </c>
      <c r="G57" s="27">
        <v>97.576999999999998</v>
      </c>
      <c r="H57" s="27">
        <v>30.571000000000002</v>
      </c>
      <c r="J57" s="27">
        <v>101.327</v>
      </c>
      <c r="K57" s="27">
        <v>31.106999999999999</v>
      </c>
      <c r="M57" s="27">
        <v>97.894999999999996</v>
      </c>
      <c r="N57" s="27">
        <v>33.143999999999998</v>
      </c>
      <c r="P57" s="27">
        <v>100.161</v>
      </c>
      <c r="Q57" s="27">
        <v>30.2</v>
      </c>
      <c r="S57" s="27">
        <v>127.19</v>
      </c>
      <c r="T57" s="27">
        <v>30.908999999999999</v>
      </c>
    </row>
    <row r="58" spans="1:20" x14ac:dyDescent="0.25">
      <c r="A58" s="27">
        <v>96.004999999999995</v>
      </c>
      <c r="B58" s="27">
        <v>31.437999999999999</v>
      </c>
      <c r="D58" s="27">
        <v>101.42400000000001</v>
      </c>
      <c r="E58" s="27">
        <v>32.841000000000001</v>
      </c>
      <c r="G58" s="27">
        <v>99.302000000000007</v>
      </c>
      <c r="H58" s="27">
        <v>34.646000000000001</v>
      </c>
      <c r="J58" s="27">
        <v>98.308000000000007</v>
      </c>
      <c r="K58" s="27">
        <v>33.063000000000002</v>
      </c>
      <c r="M58" s="27">
        <v>99.465999999999994</v>
      </c>
      <c r="N58" s="27">
        <v>31.579000000000001</v>
      </c>
      <c r="P58" s="27">
        <v>100.908</v>
      </c>
      <c r="Q58" s="27">
        <v>30.234999999999999</v>
      </c>
      <c r="S58" s="27">
        <v>123.66200000000001</v>
      </c>
      <c r="T58" s="27">
        <v>33.923999999999999</v>
      </c>
    </row>
    <row r="59" spans="1:20" x14ac:dyDescent="0.25">
      <c r="A59" s="27">
        <v>99.6</v>
      </c>
      <c r="B59" s="27">
        <v>32.051000000000002</v>
      </c>
      <c r="D59" s="27">
        <v>105.253</v>
      </c>
      <c r="E59" s="27">
        <v>33.978000000000002</v>
      </c>
      <c r="G59" s="27">
        <v>98.649000000000001</v>
      </c>
      <c r="H59" s="27">
        <v>34.665999999999997</v>
      </c>
      <c r="J59" s="27">
        <v>101.91</v>
      </c>
      <c r="K59" s="27">
        <v>33.094999999999999</v>
      </c>
      <c r="M59" s="27">
        <v>101.73</v>
      </c>
      <c r="N59" s="27">
        <v>33.049999999999997</v>
      </c>
      <c r="P59" s="27">
        <v>99.421000000000006</v>
      </c>
      <c r="Q59" s="27">
        <v>31.890999999999998</v>
      </c>
      <c r="S59" s="27">
        <v>124.934</v>
      </c>
      <c r="T59" s="27">
        <v>28.544</v>
      </c>
    </row>
    <row r="60" spans="1:20" x14ac:dyDescent="0.25">
      <c r="A60" s="27">
        <v>97.846000000000004</v>
      </c>
      <c r="B60" s="27">
        <v>31.844999999999999</v>
      </c>
      <c r="D60" s="27">
        <v>99.04</v>
      </c>
      <c r="E60" s="27">
        <v>33.436999999999998</v>
      </c>
      <c r="G60" s="27">
        <v>98.322000000000003</v>
      </c>
      <c r="H60" s="27">
        <v>33.549999999999997</v>
      </c>
      <c r="J60" s="27">
        <v>99.722999999999999</v>
      </c>
      <c r="K60" s="27">
        <v>32.994</v>
      </c>
      <c r="M60" s="27">
        <v>102.69799999999999</v>
      </c>
      <c r="N60" s="27">
        <v>32.295999999999999</v>
      </c>
      <c r="P60" s="27">
        <v>98.656000000000006</v>
      </c>
      <c r="Q60" s="27">
        <v>33.06</v>
      </c>
      <c r="S60" s="27">
        <v>122.825</v>
      </c>
      <c r="T60" s="27">
        <v>29.140999999999998</v>
      </c>
    </row>
    <row r="61" spans="1:20" x14ac:dyDescent="0.25">
      <c r="A61" s="27">
        <v>98.363</v>
      </c>
      <c r="B61" s="27">
        <v>33.427</v>
      </c>
      <c r="D61" s="27">
        <v>99.522999999999996</v>
      </c>
      <c r="E61" s="27">
        <v>31.631</v>
      </c>
      <c r="G61" s="27">
        <v>99.733999999999995</v>
      </c>
      <c r="H61" s="27">
        <v>30.417999999999999</v>
      </c>
      <c r="J61" s="27">
        <v>104.161</v>
      </c>
      <c r="K61" s="27">
        <v>35.021999999999998</v>
      </c>
      <c r="M61" s="27">
        <v>104.661</v>
      </c>
      <c r="N61" s="27">
        <v>32.718000000000004</v>
      </c>
      <c r="P61" s="27">
        <v>99.003</v>
      </c>
      <c r="Q61" s="27">
        <v>32.555999999999997</v>
      </c>
      <c r="S61" s="27">
        <v>122.235</v>
      </c>
      <c r="T61" s="27">
        <v>29.747</v>
      </c>
    </row>
    <row r="62" spans="1:20" x14ac:dyDescent="0.25">
      <c r="A62" s="27">
        <v>99.197999999999993</v>
      </c>
      <c r="B62" s="27">
        <v>30.937000000000001</v>
      </c>
      <c r="D62" s="27">
        <v>103.7</v>
      </c>
      <c r="E62" s="27">
        <v>33.298000000000002</v>
      </c>
      <c r="G62" s="27">
        <v>100.931</v>
      </c>
      <c r="H62" s="27">
        <v>30.582000000000001</v>
      </c>
      <c r="J62" s="27">
        <v>103.456</v>
      </c>
      <c r="K62" s="27">
        <v>32.177</v>
      </c>
      <c r="M62" s="27">
        <v>99.304000000000002</v>
      </c>
      <c r="N62" s="27">
        <v>33.078000000000003</v>
      </c>
      <c r="P62" s="27">
        <v>102.637</v>
      </c>
      <c r="Q62" s="27">
        <v>31.692</v>
      </c>
      <c r="S62" s="27">
        <v>125.32299999999999</v>
      </c>
      <c r="T62" s="27">
        <v>31.670999999999999</v>
      </c>
    </row>
    <row r="63" spans="1:20" x14ac:dyDescent="0.25">
      <c r="A63" s="27">
        <v>95.962999999999994</v>
      </c>
      <c r="B63" s="27">
        <v>30.757000000000001</v>
      </c>
      <c r="D63" s="27">
        <v>100.145</v>
      </c>
      <c r="E63" s="27">
        <v>33.704999999999998</v>
      </c>
      <c r="G63" s="27">
        <v>99.197999999999993</v>
      </c>
      <c r="H63" s="27">
        <v>32.415999999999997</v>
      </c>
      <c r="J63" s="27">
        <v>98.04</v>
      </c>
      <c r="K63" s="27">
        <v>33.843000000000004</v>
      </c>
      <c r="M63" s="27">
        <v>100.685</v>
      </c>
      <c r="N63" s="27">
        <v>32.348999999999997</v>
      </c>
      <c r="P63" s="27">
        <v>100.908</v>
      </c>
      <c r="Q63" s="27">
        <v>31.491</v>
      </c>
      <c r="S63" s="27">
        <v>126.56</v>
      </c>
      <c r="T63" s="27">
        <v>32.302999999999997</v>
      </c>
    </row>
    <row r="64" spans="1:20" x14ac:dyDescent="0.25">
      <c r="A64" s="27">
        <v>98.405000000000001</v>
      </c>
      <c r="B64" s="27">
        <v>31.25</v>
      </c>
      <c r="D64" s="27">
        <v>102.919</v>
      </c>
      <c r="E64" s="27">
        <v>32.935000000000002</v>
      </c>
      <c r="G64" s="27">
        <v>99.656999999999996</v>
      </c>
      <c r="H64" s="27">
        <v>31.196000000000002</v>
      </c>
      <c r="J64" s="27">
        <v>102.16200000000001</v>
      </c>
      <c r="K64" s="27">
        <v>32.451000000000001</v>
      </c>
      <c r="M64" s="27">
        <v>92.08</v>
      </c>
      <c r="N64" s="27">
        <v>32.738</v>
      </c>
      <c r="P64" s="27">
        <v>100.455</v>
      </c>
      <c r="Q64" s="27">
        <v>31.457999999999998</v>
      </c>
      <c r="S64" s="27">
        <v>128.53700000000001</v>
      </c>
      <c r="T64" s="27">
        <v>32.911000000000001</v>
      </c>
    </row>
    <row r="65" spans="1:20" x14ac:dyDescent="0.25">
      <c r="A65" s="27">
        <v>98.055000000000007</v>
      </c>
      <c r="B65" s="27">
        <v>31.265000000000001</v>
      </c>
      <c r="D65" s="27">
        <v>98.731999999999999</v>
      </c>
      <c r="E65" s="27">
        <v>33.863</v>
      </c>
      <c r="G65" s="27">
        <v>99.632000000000005</v>
      </c>
      <c r="H65" s="27">
        <v>34.594999999999999</v>
      </c>
      <c r="J65" s="27">
        <v>99.72</v>
      </c>
      <c r="K65" s="27">
        <v>31.375</v>
      </c>
      <c r="M65" s="27">
        <v>101.693</v>
      </c>
      <c r="N65" s="27">
        <v>30.202000000000002</v>
      </c>
      <c r="P65" s="27">
        <v>101.831</v>
      </c>
      <c r="Q65" s="27">
        <v>32.448</v>
      </c>
      <c r="S65" s="27">
        <v>124.154</v>
      </c>
      <c r="T65" s="27">
        <v>33.424999999999997</v>
      </c>
    </row>
    <row r="66" spans="1:20" x14ac:dyDescent="0.25">
      <c r="A66" s="27">
        <v>97.114999999999995</v>
      </c>
      <c r="B66" s="27">
        <v>30.599</v>
      </c>
      <c r="D66" s="27">
        <v>102.105</v>
      </c>
      <c r="E66" s="27">
        <v>31.766999999999999</v>
      </c>
      <c r="G66" s="27">
        <v>99.441999999999993</v>
      </c>
      <c r="H66" s="27">
        <v>32.552999999999997</v>
      </c>
      <c r="J66" s="27">
        <v>99.33</v>
      </c>
      <c r="K66" s="27">
        <v>30.103999999999999</v>
      </c>
      <c r="M66" s="27">
        <v>102.43</v>
      </c>
      <c r="N66" s="27">
        <v>33.006999999999998</v>
      </c>
      <c r="P66" s="27">
        <v>97.113</v>
      </c>
      <c r="Q66" s="27">
        <v>30.995999999999999</v>
      </c>
      <c r="S66" s="27">
        <v>126.66</v>
      </c>
      <c r="T66" s="27">
        <v>32.624000000000002</v>
      </c>
    </row>
    <row r="67" spans="1:20" x14ac:dyDescent="0.25">
      <c r="A67" s="27">
        <v>94.082999999999998</v>
      </c>
      <c r="B67" s="27">
        <v>32.67</v>
      </c>
      <c r="D67" s="27">
        <v>102.795</v>
      </c>
      <c r="E67" s="27">
        <v>32.548000000000002</v>
      </c>
      <c r="G67" s="27">
        <v>99.847999999999999</v>
      </c>
      <c r="H67" s="27">
        <v>32.082000000000001</v>
      </c>
      <c r="J67" s="27">
        <v>100.60299999999999</v>
      </c>
      <c r="K67" s="27">
        <v>34.554000000000002</v>
      </c>
      <c r="M67" s="27">
        <v>101.173</v>
      </c>
      <c r="N67" s="27">
        <v>33.228000000000002</v>
      </c>
      <c r="P67" s="27">
        <v>100.21599999999999</v>
      </c>
      <c r="Q67" s="27">
        <v>31.692</v>
      </c>
      <c r="S67" s="27">
        <v>131.01900000000001</v>
      </c>
      <c r="T67" s="27">
        <v>29.853999999999999</v>
      </c>
    </row>
    <row r="68" spans="1:20" x14ac:dyDescent="0.25">
      <c r="A68" s="27">
        <v>100.07</v>
      </c>
      <c r="B68" s="27">
        <v>33.018999999999998</v>
      </c>
      <c r="D68" s="27">
        <v>101.437</v>
      </c>
      <c r="E68" s="27">
        <v>33.097000000000001</v>
      </c>
      <c r="G68" s="27">
        <v>102.548</v>
      </c>
      <c r="H68" s="27">
        <v>31.004000000000001</v>
      </c>
      <c r="J68" s="27">
        <v>99.563000000000002</v>
      </c>
      <c r="K68" s="27">
        <v>32.81</v>
      </c>
      <c r="M68" s="27">
        <v>100.336</v>
      </c>
      <c r="N68" s="27">
        <v>33.286000000000001</v>
      </c>
      <c r="P68" s="27">
        <v>101.239</v>
      </c>
      <c r="Q68" s="27">
        <v>32.448</v>
      </c>
      <c r="S68" s="27">
        <v>128.55699999999999</v>
      </c>
      <c r="T68" s="27">
        <v>32.445999999999998</v>
      </c>
    </row>
    <row r="69" spans="1:20" x14ac:dyDescent="0.25">
      <c r="A69" s="27">
        <v>102.229</v>
      </c>
      <c r="B69" s="27">
        <v>34.082999999999998</v>
      </c>
      <c r="D69" s="27">
        <v>101.532</v>
      </c>
      <c r="E69" s="27">
        <v>31.047999999999998</v>
      </c>
      <c r="G69" s="27">
        <v>98.917000000000002</v>
      </c>
      <c r="H69" s="27">
        <v>31.31</v>
      </c>
      <c r="J69" s="27">
        <v>101.483</v>
      </c>
      <c r="K69" s="27">
        <v>33.371000000000002</v>
      </c>
      <c r="M69" s="27">
        <v>97.253</v>
      </c>
      <c r="N69" s="27">
        <v>31.623000000000001</v>
      </c>
      <c r="P69" s="27">
        <v>99.421000000000006</v>
      </c>
      <c r="Q69" s="27">
        <v>31.847000000000001</v>
      </c>
      <c r="S69" s="27">
        <v>136.92099999999999</v>
      </c>
      <c r="T69" s="27">
        <v>32.673000000000002</v>
      </c>
    </row>
    <row r="70" spans="1:20" x14ac:dyDescent="0.25">
      <c r="A70" s="27">
        <v>100.84699999999999</v>
      </c>
      <c r="B70" s="27">
        <v>33.125999999999998</v>
      </c>
      <c r="D70" s="27">
        <v>104.337</v>
      </c>
      <c r="E70" s="27">
        <v>32.619999999999997</v>
      </c>
      <c r="G70" s="27">
        <v>98.790999999999997</v>
      </c>
      <c r="H70" s="27">
        <v>31.898</v>
      </c>
      <c r="J70" s="27">
        <v>101.14100000000001</v>
      </c>
      <c r="K70" s="27">
        <v>33.677999999999997</v>
      </c>
      <c r="M70" s="27">
        <v>101.077</v>
      </c>
      <c r="N70" s="27">
        <v>31.75</v>
      </c>
      <c r="P70" s="27">
        <v>100.43</v>
      </c>
      <c r="Q70" s="27">
        <v>32.674999999999997</v>
      </c>
      <c r="S70" s="27">
        <v>128.398</v>
      </c>
      <c r="T70" s="27">
        <v>34.024000000000001</v>
      </c>
    </row>
    <row r="71" spans="1:20" x14ac:dyDescent="0.25">
      <c r="A71" s="27">
        <v>96.134</v>
      </c>
      <c r="B71" s="27">
        <v>30.523</v>
      </c>
      <c r="D71" s="27">
        <v>100.199</v>
      </c>
      <c r="E71" s="27">
        <v>35.192</v>
      </c>
      <c r="G71" s="27">
        <v>96.718000000000004</v>
      </c>
      <c r="H71" s="27">
        <v>32.412999999999997</v>
      </c>
      <c r="J71" s="27">
        <v>100.033</v>
      </c>
      <c r="K71" s="27">
        <v>33.283000000000001</v>
      </c>
      <c r="M71" s="27">
        <v>102.831</v>
      </c>
      <c r="N71" s="27">
        <v>33.622</v>
      </c>
      <c r="P71" s="27">
        <v>99.986000000000004</v>
      </c>
      <c r="Q71" s="27">
        <v>30.939</v>
      </c>
      <c r="S71" s="27">
        <v>129.12899999999999</v>
      </c>
      <c r="T71" s="27">
        <v>31.038</v>
      </c>
    </row>
    <row r="72" spans="1:20" x14ac:dyDescent="0.25">
      <c r="A72" s="27">
        <v>99.39</v>
      </c>
      <c r="B72" s="27">
        <v>31.91</v>
      </c>
      <c r="D72" s="27">
        <v>103.76600000000001</v>
      </c>
      <c r="E72" s="27">
        <v>34.145000000000003</v>
      </c>
      <c r="G72" s="27">
        <v>101.31</v>
      </c>
      <c r="H72" s="27">
        <v>29.672999999999998</v>
      </c>
      <c r="J72" s="27">
        <v>95.894000000000005</v>
      </c>
      <c r="K72" s="27">
        <v>31.244</v>
      </c>
      <c r="M72" s="27">
        <v>100.223</v>
      </c>
      <c r="N72" s="27">
        <v>33.036000000000001</v>
      </c>
      <c r="P72" s="27">
        <v>99.397999999999996</v>
      </c>
      <c r="Q72" s="27">
        <v>31.628</v>
      </c>
      <c r="S72" s="27">
        <v>122.512</v>
      </c>
      <c r="T72" s="27">
        <v>33.424999999999997</v>
      </c>
    </row>
    <row r="73" spans="1:20" x14ac:dyDescent="0.25">
      <c r="A73" s="27">
        <v>98.799000000000007</v>
      </c>
      <c r="B73" s="27">
        <v>31.800999999999998</v>
      </c>
      <c r="D73" s="27">
        <v>99.088999999999999</v>
      </c>
      <c r="E73" s="27">
        <v>31.686</v>
      </c>
      <c r="G73" s="27">
        <v>100.892</v>
      </c>
      <c r="H73" s="27">
        <v>32.154000000000003</v>
      </c>
      <c r="J73" s="27">
        <v>101.38</v>
      </c>
      <c r="K73" s="27">
        <v>30.661999999999999</v>
      </c>
      <c r="M73" s="27">
        <v>100.925</v>
      </c>
      <c r="N73" s="27">
        <v>32.805999999999997</v>
      </c>
      <c r="P73" s="27">
        <v>98.25</v>
      </c>
      <c r="Q73" s="27">
        <v>31.423999999999999</v>
      </c>
      <c r="S73" s="27">
        <v>132.083</v>
      </c>
      <c r="T73" s="27">
        <v>32.228999999999999</v>
      </c>
    </row>
    <row r="74" spans="1:20" x14ac:dyDescent="0.25">
      <c r="A74" s="27">
        <v>101.92700000000001</v>
      </c>
      <c r="B74" s="27">
        <v>32.670999999999999</v>
      </c>
      <c r="D74" s="27">
        <v>105.569</v>
      </c>
      <c r="E74" s="27">
        <v>33.28</v>
      </c>
      <c r="G74" s="27">
        <v>103.089</v>
      </c>
      <c r="H74" s="27">
        <v>30.344999999999999</v>
      </c>
      <c r="J74" s="27">
        <v>106.40300000000001</v>
      </c>
      <c r="K74" s="27">
        <v>32.052</v>
      </c>
      <c r="M74" s="27">
        <v>101.684</v>
      </c>
      <c r="N74" s="27">
        <v>33.804000000000002</v>
      </c>
      <c r="P74" s="27">
        <v>103.667</v>
      </c>
      <c r="Q74" s="27">
        <v>31.524999999999999</v>
      </c>
      <c r="S74" s="27">
        <v>129.41399999999999</v>
      </c>
      <c r="T74" s="27">
        <v>33.039000000000001</v>
      </c>
    </row>
    <row r="75" spans="1:20" x14ac:dyDescent="0.25">
      <c r="A75" s="27">
        <v>99.653999999999996</v>
      </c>
      <c r="B75" s="27">
        <v>32.709000000000003</v>
      </c>
      <c r="D75" s="27">
        <v>101.38800000000001</v>
      </c>
      <c r="E75" s="27">
        <v>32.006</v>
      </c>
      <c r="G75" s="27">
        <v>96.334000000000003</v>
      </c>
      <c r="H75" s="27">
        <v>29.626999999999999</v>
      </c>
      <c r="J75" s="27">
        <v>97.599000000000004</v>
      </c>
      <c r="K75" s="27">
        <v>32.177</v>
      </c>
      <c r="M75" s="27">
        <v>93.617999999999995</v>
      </c>
      <c r="N75" s="27">
        <v>32.505000000000003</v>
      </c>
      <c r="P75" s="27">
        <v>101.288</v>
      </c>
      <c r="Q75" s="27">
        <v>32.814</v>
      </c>
      <c r="S75" s="27">
        <v>129.46899999999999</v>
      </c>
      <c r="T75" s="27">
        <v>33.923999999999999</v>
      </c>
    </row>
    <row r="76" spans="1:20" x14ac:dyDescent="0.25">
      <c r="A76" s="27">
        <v>97.885000000000005</v>
      </c>
      <c r="B76" s="27">
        <v>31.097999999999999</v>
      </c>
      <c r="D76" s="27">
        <v>103.327</v>
      </c>
      <c r="E76" s="27">
        <v>33.564999999999998</v>
      </c>
      <c r="G76" s="27">
        <v>98.064999999999998</v>
      </c>
      <c r="H76" s="27">
        <v>31.893999999999998</v>
      </c>
      <c r="J76" s="27">
        <v>100.033</v>
      </c>
      <c r="K76" s="27">
        <v>32.143999999999998</v>
      </c>
      <c r="M76" s="27">
        <v>100.366</v>
      </c>
      <c r="N76" s="27">
        <v>33.375</v>
      </c>
      <c r="P76" s="27">
        <v>101.57</v>
      </c>
      <c r="Q76" s="27">
        <v>29.966999999999999</v>
      </c>
      <c r="S76" s="27">
        <v>123.021</v>
      </c>
      <c r="T76" s="27">
        <v>33.835999999999999</v>
      </c>
    </row>
    <row r="77" spans="1:20" x14ac:dyDescent="0.25">
      <c r="A77" s="27">
        <v>100.818</v>
      </c>
      <c r="B77" s="27">
        <v>32.890999999999998</v>
      </c>
      <c r="D77" s="27">
        <v>98.796000000000006</v>
      </c>
      <c r="E77" s="27">
        <v>31.518999999999998</v>
      </c>
      <c r="G77" s="27">
        <v>101.053</v>
      </c>
      <c r="H77" s="27">
        <v>29.908999999999999</v>
      </c>
      <c r="J77" s="27">
        <v>100.833</v>
      </c>
      <c r="K77" s="27">
        <v>33.377000000000002</v>
      </c>
      <c r="M77" s="27">
        <v>100.479</v>
      </c>
      <c r="N77" s="27">
        <v>33.006999999999998</v>
      </c>
      <c r="P77" s="27">
        <v>102.575</v>
      </c>
      <c r="Q77" s="27">
        <v>33.545999999999999</v>
      </c>
      <c r="S77" s="27">
        <v>127.97499999999999</v>
      </c>
      <c r="T77" s="27">
        <v>33.225999999999999</v>
      </c>
    </row>
    <row r="78" spans="1:20" x14ac:dyDescent="0.25">
      <c r="A78" s="27">
        <v>97.831999999999994</v>
      </c>
      <c r="B78" s="27">
        <v>32.442</v>
      </c>
      <c r="D78" s="27">
        <v>101.624</v>
      </c>
      <c r="E78" s="27">
        <v>33.732999999999997</v>
      </c>
      <c r="G78" s="27">
        <v>94.234999999999999</v>
      </c>
      <c r="H78" s="27">
        <v>32.4</v>
      </c>
      <c r="J78" s="27">
        <v>103.16500000000001</v>
      </c>
      <c r="K78" s="27">
        <v>32.491999999999997</v>
      </c>
      <c r="M78" s="27">
        <v>92.078000000000003</v>
      </c>
      <c r="N78" s="27">
        <v>31.315999999999999</v>
      </c>
      <c r="P78" s="27">
        <v>100.884</v>
      </c>
      <c r="Q78" s="27">
        <v>32.033999999999999</v>
      </c>
      <c r="S78" s="27">
        <v>126.23399999999999</v>
      </c>
      <c r="T78" s="27">
        <v>29.934999999999999</v>
      </c>
    </row>
    <row r="79" spans="1:20" x14ac:dyDescent="0.25">
      <c r="A79" s="27">
        <v>96.85</v>
      </c>
      <c r="B79" s="27">
        <v>31.623999999999999</v>
      </c>
      <c r="D79" s="27">
        <v>99.009</v>
      </c>
      <c r="E79" s="27">
        <v>33.14</v>
      </c>
      <c r="G79" s="27">
        <v>94.504000000000005</v>
      </c>
      <c r="H79" s="27">
        <v>31.94</v>
      </c>
      <c r="J79" s="27">
        <v>100.211</v>
      </c>
      <c r="K79" s="27">
        <v>33.326000000000001</v>
      </c>
      <c r="M79" s="27">
        <v>102.35299999999999</v>
      </c>
      <c r="N79" s="27">
        <v>31.866</v>
      </c>
      <c r="P79" s="27">
        <v>101.014</v>
      </c>
      <c r="Q79" s="27">
        <v>31.934999999999999</v>
      </c>
      <c r="S79" s="27">
        <v>123.97499999999999</v>
      </c>
      <c r="T79" s="27">
        <v>31.928999999999998</v>
      </c>
    </row>
    <row r="80" spans="1:20" x14ac:dyDescent="0.25">
      <c r="A80" s="27">
        <v>97.304000000000002</v>
      </c>
      <c r="B80" s="27">
        <v>32.686</v>
      </c>
      <c r="D80" s="27">
        <v>96.915000000000006</v>
      </c>
      <c r="E80" s="27">
        <v>34.421999999999997</v>
      </c>
      <c r="G80" s="27">
        <v>103.251</v>
      </c>
      <c r="H80" s="27">
        <v>30.445</v>
      </c>
      <c r="J80" s="27">
        <v>100.89</v>
      </c>
      <c r="K80" s="27">
        <v>32.793999999999997</v>
      </c>
      <c r="M80" s="27">
        <v>92.994</v>
      </c>
      <c r="N80" s="27">
        <v>32.930999999999997</v>
      </c>
      <c r="P80" s="27">
        <v>102.383</v>
      </c>
      <c r="Q80" s="27">
        <v>34.881999999999998</v>
      </c>
      <c r="S80" s="27">
        <v>126.914</v>
      </c>
      <c r="T80" s="27">
        <v>32.543999999999997</v>
      </c>
    </row>
    <row r="81" spans="1:20" x14ac:dyDescent="0.25">
      <c r="A81" s="27">
        <v>101.932</v>
      </c>
      <c r="B81" s="27">
        <v>34.006999999999998</v>
      </c>
      <c r="D81" s="27">
        <v>104.336</v>
      </c>
      <c r="E81" s="27">
        <v>31.43</v>
      </c>
      <c r="G81" s="27">
        <v>97.007999999999996</v>
      </c>
      <c r="H81" s="27">
        <v>32.031999999999996</v>
      </c>
      <c r="J81" s="27">
        <v>102.36499999999999</v>
      </c>
      <c r="K81" s="27">
        <v>31.364000000000001</v>
      </c>
      <c r="M81" s="27">
        <v>101.91</v>
      </c>
      <c r="N81" s="27">
        <v>33.883000000000003</v>
      </c>
      <c r="P81" s="27">
        <v>101.21599999999999</v>
      </c>
      <c r="Q81" s="27">
        <v>29.981000000000002</v>
      </c>
      <c r="S81" s="27">
        <v>125.917</v>
      </c>
      <c r="T81" s="27">
        <v>31.928999999999998</v>
      </c>
    </row>
    <row r="82" spans="1:20" x14ac:dyDescent="0.25">
      <c r="A82" s="27">
        <v>94.474000000000004</v>
      </c>
      <c r="B82" s="27">
        <v>31.756</v>
      </c>
      <c r="D82" s="27">
        <v>93.57</v>
      </c>
      <c r="E82" s="27">
        <v>32.238</v>
      </c>
      <c r="G82" s="27">
        <v>101.69</v>
      </c>
      <c r="H82" s="27">
        <v>30.364999999999998</v>
      </c>
      <c r="J82" s="27">
        <v>99.911000000000001</v>
      </c>
      <c r="K82" s="27">
        <v>33.847999999999999</v>
      </c>
      <c r="M82" s="27">
        <v>102.042</v>
      </c>
      <c r="N82" s="27">
        <v>33.96</v>
      </c>
      <c r="P82" s="27">
        <v>99.176000000000002</v>
      </c>
      <c r="Q82" s="27">
        <v>32.35</v>
      </c>
      <c r="S82" s="27">
        <v>117.922</v>
      </c>
      <c r="T82" s="27">
        <v>31.315000000000001</v>
      </c>
    </row>
    <row r="83" spans="1:20" x14ac:dyDescent="0.25">
      <c r="A83" s="27">
        <v>96.736000000000004</v>
      </c>
      <c r="B83" s="27">
        <v>31.03</v>
      </c>
      <c r="D83" s="27">
        <v>92.71</v>
      </c>
      <c r="E83" s="27">
        <v>34.896000000000001</v>
      </c>
      <c r="G83" s="27">
        <v>100.411</v>
      </c>
      <c r="H83" s="27">
        <v>32.655999999999999</v>
      </c>
      <c r="J83" s="27">
        <v>100.44199999999999</v>
      </c>
      <c r="K83" s="27">
        <v>32.125</v>
      </c>
      <c r="M83" s="27">
        <v>99.213999999999999</v>
      </c>
      <c r="N83" s="27">
        <v>32.156999999999996</v>
      </c>
      <c r="P83" s="27">
        <v>100.255</v>
      </c>
      <c r="Q83" s="27">
        <v>36.256</v>
      </c>
      <c r="S83" s="27">
        <v>127.893</v>
      </c>
      <c r="T83" s="27">
        <v>37.917000000000002</v>
      </c>
    </row>
    <row r="84" spans="1:20" x14ac:dyDescent="0.25">
      <c r="A84" s="27">
        <v>99.066999999999993</v>
      </c>
      <c r="B84" s="27">
        <v>33.863</v>
      </c>
      <c r="D84" s="25"/>
      <c r="E84" s="27">
        <v>32.896000000000001</v>
      </c>
      <c r="G84" s="27">
        <v>103.19799999999999</v>
      </c>
      <c r="H84" s="27">
        <v>31.681999999999999</v>
      </c>
      <c r="J84" s="27">
        <v>97.575000000000003</v>
      </c>
      <c r="K84" s="27">
        <v>32.786000000000001</v>
      </c>
      <c r="M84" s="27">
        <v>99.061000000000007</v>
      </c>
      <c r="N84" s="27">
        <v>33.384999999999998</v>
      </c>
      <c r="P84" s="27">
        <v>101.55200000000001</v>
      </c>
      <c r="Q84" s="27">
        <v>30.122</v>
      </c>
      <c r="S84" s="27">
        <v>122.941</v>
      </c>
      <c r="T84" s="27">
        <v>28.864999999999998</v>
      </c>
    </row>
    <row r="85" spans="1:20" x14ac:dyDescent="0.25">
      <c r="A85" s="27">
        <v>98.116</v>
      </c>
      <c r="B85" s="27">
        <v>30.677</v>
      </c>
      <c r="D85" s="25"/>
      <c r="E85" s="27">
        <v>32.585999999999999</v>
      </c>
      <c r="G85" s="27">
        <v>104.163</v>
      </c>
      <c r="H85" s="27">
        <v>32.024000000000001</v>
      </c>
      <c r="J85" s="27">
        <v>98.986000000000004</v>
      </c>
      <c r="K85" s="27">
        <v>33.164000000000001</v>
      </c>
      <c r="M85" s="27">
        <v>101.268</v>
      </c>
      <c r="N85" s="27">
        <v>33.238999999999997</v>
      </c>
      <c r="P85" s="27">
        <v>102.753</v>
      </c>
      <c r="Q85" s="27">
        <v>32.222000000000001</v>
      </c>
      <c r="S85" s="27">
        <v>123.125</v>
      </c>
      <c r="T85" s="27">
        <v>28.091999999999999</v>
      </c>
    </row>
    <row r="86" spans="1:20" x14ac:dyDescent="0.25">
      <c r="A86" s="27">
        <v>97.674000000000007</v>
      </c>
      <c r="B86" s="27">
        <v>34.914000000000001</v>
      </c>
      <c r="D86" s="25"/>
      <c r="E86" s="27">
        <v>35.548000000000002</v>
      </c>
      <c r="G86" s="27">
        <v>102.64</v>
      </c>
      <c r="H86" s="27">
        <v>30.454999999999998</v>
      </c>
      <c r="J86" s="27">
        <v>101.50700000000001</v>
      </c>
      <c r="K86" s="27">
        <v>34.671999999999997</v>
      </c>
      <c r="M86" s="27">
        <v>104.88800000000001</v>
      </c>
      <c r="N86" s="27">
        <v>32.44</v>
      </c>
      <c r="P86" s="27">
        <v>103.486</v>
      </c>
      <c r="Q86" s="27">
        <v>31.744</v>
      </c>
      <c r="S86" s="27">
        <v>131.97499999999999</v>
      </c>
      <c r="T86" s="27">
        <v>26.324999999999999</v>
      </c>
    </row>
    <row r="87" spans="1:20" x14ac:dyDescent="0.25">
      <c r="A87" s="27">
        <v>95.304000000000002</v>
      </c>
      <c r="B87" s="27">
        <v>31.837</v>
      </c>
      <c r="D87" s="25"/>
      <c r="E87" s="27">
        <v>31.867999999999999</v>
      </c>
      <c r="G87" s="27">
        <v>102.32599999999999</v>
      </c>
      <c r="H87" s="27">
        <v>30.677</v>
      </c>
      <c r="J87" s="27">
        <v>97.885999999999996</v>
      </c>
      <c r="K87" s="27">
        <v>31.968</v>
      </c>
      <c r="M87" s="27">
        <v>102.46899999999999</v>
      </c>
      <c r="N87" s="27">
        <v>33.520000000000003</v>
      </c>
      <c r="P87" s="27">
        <v>97.483999999999995</v>
      </c>
      <c r="Q87" s="27">
        <v>32.353000000000002</v>
      </c>
      <c r="S87" s="27">
        <v>129.798</v>
      </c>
      <c r="T87" s="27">
        <v>29.361000000000001</v>
      </c>
    </row>
    <row r="88" spans="1:20" x14ac:dyDescent="0.25">
      <c r="A88" s="27">
        <v>99.561999999999998</v>
      </c>
      <c r="B88" s="27">
        <v>30.934999999999999</v>
      </c>
      <c r="D88" s="25"/>
      <c r="E88" s="27">
        <v>32.412999999999997</v>
      </c>
      <c r="G88" s="27">
        <v>100.018</v>
      </c>
      <c r="H88" s="27">
        <v>32.024999999999999</v>
      </c>
      <c r="J88" s="27">
        <v>100.26</v>
      </c>
      <c r="K88" s="27">
        <v>35.316000000000003</v>
      </c>
      <c r="M88" s="27">
        <v>97.65</v>
      </c>
      <c r="N88" s="27">
        <v>32.628999999999998</v>
      </c>
      <c r="P88" s="27">
        <v>102.736</v>
      </c>
      <c r="Q88" s="27">
        <v>31.292000000000002</v>
      </c>
      <c r="S88" s="27">
        <v>127.548</v>
      </c>
      <c r="T88" s="27">
        <v>31.530999999999999</v>
      </c>
    </row>
    <row r="89" spans="1:20" x14ac:dyDescent="0.25">
      <c r="A89" s="27">
        <v>101.605</v>
      </c>
      <c r="B89" s="27">
        <v>31.984000000000002</v>
      </c>
      <c r="D89" s="25"/>
      <c r="E89" s="27">
        <v>31.558</v>
      </c>
      <c r="G89" s="27">
        <v>104.57599999999999</v>
      </c>
      <c r="H89" s="27">
        <v>32.878</v>
      </c>
      <c r="J89" s="27">
        <v>97.314999999999998</v>
      </c>
      <c r="K89" s="27">
        <v>31.677</v>
      </c>
      <c r="M89" s="27">
        <v>97.912999999999997</v>
      </c>
      <c r="N89" s="27">
        <v>31.132000000000001</v>
      </c>
      <c r="P89" s="27">
        <v>102.32899999999999</v>
      </c>
      <c r="Q89" s="27">
        <v>31.643999999999998</v>
      </c>
      <c r="S89" s="27">
        <v>130.33799999999999</v>
      </c>
      <c r="T89" s="27">
        <v>33.692999999999998</v>
      </c>
    </row>
    <row r="90" spans="1:20" x14ac:dyDescent="0.25">
      <c r="A90" s="27">
        <v>96.113</v>
      </c>
      <c r="B90" s="27">
        <v>32.151000000000003</v>
      </c>
      <c r="D90" s="25"/>
      <c r="E90" s="27">
        <v>32.756</v>
      </c>
      <c r="G90" s="27">
        <v>101.017</v>
      </c>
      <c r="H90" s="27">
        <v>31.544</v>
      </c>
      <c r="J90" s="27">
        <v>106.352</v>
      </c>
      <c r="K90" s="27">
        <v>33.99</v>
      </c>
      <c r="M90" s="27">
        <v>99.254000000000005</v>
      </c>
      <c r="N90" s="27">
        <v>32.000999999999998</v>
      </c>
      <c r="P90" s="27">
        <v>101.556</v>
      </c>
      <c r="Q90" s="27">
        <v>34.811</v>
      </c>
      <c r="S90" s="27">
        <v>123.899</v>
      </c>
      <c r="T90" s="27">
        <v>33.692999999999998</v>
      </c>
    </row>
    <row r="91" spans="1:20" x14ac:dyDescent="0.25">
      <c r="A91" s="27">
        <v>91.25</v>
      </c>
      <c r="B91" s="27">
        <v>31.777000000000001</v>
      </c>
      <c r="D91" s="25"/>
      <c r="E91" s="27">
        <v>33.912999999999997</v>
      </c>
      <c r="G91" s="27">
        <v>98.703999999999994</v>
      </c>
      <c r="H91" s="27">
        <v>32.243000000000002</v>
      </c>
      <c r="J91" s="27">
        <v>102.273</v>
      </c>
      <c r="K91" s="27">
        <v>32.384999999999998</v>
      </c>
      <c r="M91" s="27">
        <v>98.932000000000002</v>
      </c>
      <c r="N91" s="27">
        <v>32.462000000000003</v>
      </c>
      <c r="P91" s="27">
        <v>103.026</v>
      </c>
      <c r="Q91" s="27">
        <v>30.925000000000001</v>
      </c>
      <c r="S91" s="27">
        <v>99.814999999999998</v>
      </c>
      <c r="T91" s="27">
        <v>30.544</v>
      </c>
    </row>
    <row r="92" spans="1:20" x14ac:dyDescent="0.25">
      <c r="A92" s="27">
        <v>96.506</v>
      </c>
      <c r="B92" s="27">
        <v>29.829000000000001</v>
      </c>
      <c r="D92" s="25"/>
      <c r="E92" s="27">
        <v>32.048999999999999</v>
      </c>
      <c r="G92" s="27">
        <v>102.599</v>
      </c>
      <c r="H92" s="27">
        <v>33.307000000000002</v>
      </c>
      <c r="J92" s="27">
        <v>101.904</v>
      </c>
      <c r="K92" s="27">
        <v>33.024000000000001</v>
      </c>
      <c r="M92" s="27">
        <v>102.55200000000001</v>
      </c>
      <c r="N92" s="27">
        <v>33.804000000000002</v>
      </c>
      <c r="P92" s="27">
        <v>105.44</v>
      </c>
      <c r="Q92" s="27">
        <v>33.965000000000003</v>
      </c>
      <c r="S92" s="27">
        <v>130.37700000000001</v>
      </c>
      <c r="T92" s="27">
        <v>34.862000000000002</v>
      </c>
    </row>
    <row r="93" spans="1:20" x14ac:dyDescent="0.25">
      <c r="A93" s="27">
        <v>100.087</v>
      </c>
      <c r="B93" s="27">
        <v>33.543999999999997</v>
      </c>
      <c r="D93" s="25"/>
      <c r="E93" s="27">
        <v>32.509</v>
      </c>
      <c r="G93" s="27">
        <v>100.71299999999999</v>
      </c>
      <c r="H93" s="27">
        <v>32.049999999999997</v>
      </c>
      <c r="J93" s="27">
        <v>100.033</v>
      </c>
      <c r="K93" s="27">
        <v>33.014000000000003</v>
      </c>
      <c r="M93" s="27">
        <v>101.913</v>
      </c>
      <c r="N93" s="27">
        <v>31.707000000000001</v>
      </c>
      <c r="P93" s="27">
        <v>104.235</v>
      </c>
      <c r="Q93" s="27">
        <v>32.704000000000001</v>
      </c>
      <c r="S93" s="27">
        <v>128.82300000000001</v>
      </c>
      <c r="T93" s="27">
        <v>33.207999999999998</v>
      </c>
    </row>
    <row r="94" spans="1:20" x14ac:dyDescent="0.25">
      <c r="A94" s="27">
        <v>96.721000000000004</v>
      </c>
      <c r="B94" s="27">
        <v>31.504000000000001</v>
      </c>
      <c r="D94" s="25"/>
      <c r="E94" s="27">
        <v>33.031999999999996</v>
      </c>
      <c r="G94" s="27">
        <v>99.77</v>
      </c>
      <c r="H94" s="27">
        <v>33.073999999999998</v>
      </c>
      <c r="J94" s="27">
        <v>99.126000000000005</v>
      </c>
      <c r="K94" s="27">
        <v>31.968</v>
      </c>
      <c r="M94" s="27">
        <v>99.162999999999997</v>
      </c>
      <c r="N94" s="27">
        <v>32.97</v>
      </c>
      <c r="P94" s="27">
        <v>99.326999999999998</v>
      </c>
      <c r="Q94" s="27">
        <v>34.097000000000001</v>
      </c>
      <c r="S94" s="27">
        <v>126.15900000000001</v>
      </c>
      <c r="T94" s="27">
        <v>30.934999999999999</v>
      </c>
    </row>
    <row r="95" spans="1:20" x14ac:dyDescent="0.25">
      <c r="A95" s="27">
        <v>92.484999999999999</v>
      </c>
      <c r="B95" s="27">
        <v>31.085999999999999</v>
      </c>
      <c r="D95" s="25"/>
      <c r="E95" s="27">
        <v>31.443999999999999</v>
      </c>
      <c r="G95" s="25"/>
      <c r="H95" s="27">
        <v>31.384</v>
      </c>
      <c r="J95" s="27">
        <v>99.387</v>
      </c>
      <c r="K95" s="27">
        <v>32.097000000000001</v>
      </c>
      <c r="M95" s="27">
        <v>99.572999999999993</v>
      </c>
      <c r="N95" s="27">
        <v>32.930999999999997</v>
      </c>
      <c r="P95" s="27">
        <v>103.795</v>
      </c>
      <c r="Q95" s="27">
        <v>33.356000000000002</v>
      </c>
      <c r="S95" s="27">
        <v>127.02</v>
      </c>
      <c r="T95" s="27">
        <v>31.244</v>
      </c>
    </row>
    <row r="96" spans="1:20" x14ac:dyDescent="0.25">
      <c r="A96" s="27">
        <v>98.070999999999998</v>
      </c>
      <c r="B96" s="27">
        <v>30.832999999999998</v>
      </c>
      <c r="D96" s="25"/>
      <c r="E96" s="27">
        <v>34.098999999999997</v>
      </c>
      <c r="G96" s="25"/>
      <c r="H96" s="27">
        <v>32.006999999999998</v>
      </c>
      <c r="J96" s="27">
        <v>100.834</v>
      </c>
      <c r="K96" s="27">
        <v>32.119</v>
      </c>
      <c r="M96" s="27">
        <v>96.891000000000005</v>
      </c>
      <c r="N96" s="27">
        <v>31.88</v>
      </c>
      <c r="P96" s="27">
        <v>103.053</v>
      </c>
      <c r="Q96" s="27">
        <v>32.875999999999998</v>
      </c>
      <c r="S96" s="27">
        <v>127.56699999999999</v>
      </c>
      <c r="T96" s="27">
        <v>34.862000000000002</v>
      </c>
    </row>
    <row r="97" spans="1:20" x14ac:dyDescent="0.25">
      <c r="A97" s="27">
        <v>101.697</v>
      </c>
      <c r="B97" s="27">
        <v>33.293999999999997</v>
      </c>
      <c r="D97" s="25"/>
      <c r="E97" s="27">
        <v>32.667999999999999</v>
      </c>
      <c r="G97" s="25"/>
      <c r="H97" s="27">
        <v>31.603999999999999</v>
      </c>
      <c r="J97" s="27">
        <v>106.977</v>
      </c>
      <c r="K97" s="27">
        <v>32.097000000000001</v>
      </c>
      <c r="M97" s="27">
        <v>103.917</v>
      </c>
      <c r="N97" s="27">
        <v>32.415999999999997</v>
      </c>
      <c r="P97" s="27">
        <v>99.22</v>
      </c>
      <c r="Q97" s="27">
        <v>33.292999999999999</v>
      </c>
      <c r="S97" s="27">
        <v>131.10900000000001</v>
      </c>
      <c r="T97" s="27">
        <v>32.500999999999998</v>
      </c>
    </row>
    <row r="98" spans="1:20" x14ac:dyDescent="0.25">
      <c r="A98" s="27">
        <v>98.468999999999994</v>
      </c>
      <c r="B98" s="27">
        <v>31.768000000000001</v>
      </c>
      <c r="D98" s="25"/>
      <c r="E98" s="27">
        <v>33.799999999999997</v>
      </c>
      <c r="G98" s="25"/>
      <c r="H98" s="27">
        <v>33.49</v>
      </c>
      <c r="J98" s="27">
        <v>102.277</v>
      </c>
      <c r="K98" s="27">
        <v>33.128999999999998</v>
      </c>
      <c r="M98" s="27">
        <v>99.256</v>
      </c>
      <c r="N98" s="27">
        <v>31.135999999999999</v>
      </c>
      <c r="P98" s="27">
        <v>99.558000000000007</v>
      </c>
      <c r="Q98" s="27">
        <v>31.568999999999999</v>
      </c>
      <c r="S98" s="27">
        <v>125.798</v>
      </c>
      <c r="T98" s="27">
        <v>33.835999999999999</v>
      </c>
    </row>
    <row r="99" spans="1:20" x14ac:dyDescent="0.25">
      <c r="A99" s="27">
        <v>100.782</v>
      </c>
      <c r="B99" s="27">
        <v>29.309000000000001</v>
      </c>
      <c r="D99" s="25"/>
      <c r="E99" s="27">
        <v>30.675999999999998</v>
      </c>
      <c r="G99" s="25"/>
      <c r="H99" s="27">
        <v>32.68</v>
      </c>
      <c r="J99" s="27">
        <v>100.873</v>
      </c>
      <c r="K99" s="27">
        <v>32.875999999999998</v>
      </c>
      <c r="M99" s="27">
        <v>101.532</v>
      </c>
      <c r="N99" s="27">
        <v>33.384999999999998</v>
      </c>
      <c r="P99" s="27">
        <v>99.231999999999999</v>
      </c>
      <c r="Q99" s="27">
        <v>32.564</v>
      </c>
      <c r="S99" s="27">
        <v>202.785</v>
      </c>
      <c r="T99" s="27">
        <v>29.285</v>
      </c>
    </row>
    <row r="100" spans="1:20" x14ac:dyDescent="0.25">
      <c r="A100" s="27">
        <v>99.73</v>
      </c>
      <c r="B100" s="27">
        <v>33.667999999999999</v>
      </c>
      <c r="G100" s="25"/>
      <c r="H100" s="27">
        <v>32.412999999999997</v>
      </c>
      <c r="J100" s="27">
        <v>104.254</v>
      </c>
      <c r="K100" s="27">
        <v>34.652999999999999</v>
      </c>
      <c r="M100" s="27">
        <v>100.919</v>
      </c>
      <c r="N100" s="27">
        <v>32.908999999999999</v>
      </c>
      <c r="P100" s="27">
        <v>99.959000000000003</v>
      </c>
      <c r="Q100" s="27">
        <v>32.097000000000001</v>
      </c>
      <c r="S100" s="27">
        <v>124.67100000000001</v>
      </c>
      <c r="T100" s="27">
        <v>31.481000000000002</v>
      </c>
    </row>
    <row r="101" spans="1:20" x14ac:dyDescent="0.25">
      <c r="A101" s="27">
        <v>95.266999999999996</v>
      </c>
      <c r="B101" s="27">
        <v>31.899000000000001</v>
      </c>
      <c r="G101" s="25"/>
      <c r="H101" s="27">
        <v>32.771999999999998</v>
      </c>
      <c r="J101" s="27">
        <v>98.213999999999999</v>
      </c>
      <c r="K101" s="27">
        <v>34.545000000000002</v>
      </c>
      <c r="M101" s="27">
        <v>105.63500000000001</v>
      </c>
      <c r="N101" s="27">
        <v>32.624000000000002</v>
      </c>
      <c r="P101" s="27">
        <v>105.083</v>
      </c>
      <c r="Q101" s="27">
        <v>30.376999999999999</v>
      </c>
      <c r="S101" s="27">
        <v>122.501</v>
      </c>
      <c r="T101" s="27">
        <v>37.475999999999999</v>
      </c>
    </row>
    <row r="102" spans="1:20" x14ac:dyDescent="0.25">
      <c r="A102" s="27">
        <v>98.623999999999995</v>
      </c>
      <c r="B102" s="27">
        <v>30.334</v>
      </c>
      <c r="G102" s="25"/>
      <c r="H102" s="27">
        <v>32.899000000000001</v>
      </c>
      <c r="J102" s="27">
        <v>100.086</v>
      </c>
      <c r="K102" s="27">
        <v>33.139000000000003</v>
      </c>
      <c r="M102" s="27">
        <v>100.884</v>
      </c>
      <c r="N102" s="27">
        <v>31.725000000000001</v>
      </c>
      <c r="P102" s="27">
        <v>100.033</v>
      </c>
      <c r="Q102" s="27">
        <v>32.781999999999996</v>
      </c>
      <c r="S102" s="27">
        <v>124.595</v>
      </c>
      <c r="T102" s="27">
        <v>31.530999999999999</v>
      </c>
    </row>
    <row r="103" spans="1:20" x14ac:dyDescent="0.25">
      <c r="A103" s="27">
        <v>99.236999999999995</v>
      </c>
      <c r="B103" s="27">
        <v>34.107999999999997</v>
      </c>
      <c r="G103" s="25"/>
      <c r="H103" s="27">
        <v>32.210999999999999</v>
      </c>
      <c r="J103" s="27">
        <v>101.075</v>
      </c>
      <c r="K103" s="27">
        <v>33.481000000000002</v>
      </c>
      <c r="M103" s="27">
        <v>100.854</v>
      </c>
      <c r="N103" s="27">
        <v>33.768000000000001</v>
      </c>
      <c r="P103" s="27">
        <v>102.56399999999999</v>
      </c>
      <c r="Q103" s="27">
        <v>34.021999999999998</v>
      </c>
      <c r="S103" s="27">
        <v>126.892</v>
      </c>
      <c r="T103" s="27">
        <v>32.475999999999999</v>
      </c>
    </row>
    <row r="104" spans="1:20" x14ac:dyDescent="0.25">
      <c r="A104" s="27">
        <v>98.623999999999995</v>
      </c>
      <c r="B104" s="27">
        <v>32.151000000000003</v>
      </c>
      <c r="G104" s="25"/>
      <c r="H104" s="27">
        <v>31.068999999999999</v>
      </c>
      <c r="J104" s="27">
        <v>97.894000000000005</v>
      </c>
      <c r="K104" s="27">
        <v>30.329000000000001</v>
      </c>
      <c r="M104" s="27">
        <v>102.23099999999999</v>
      </c>
      <c r="N104" s="27">
        <v>33.710999999999999</v>
      </c>
      <c r="P104" s="27">
        <v>103.139</v>
      </c>
      <c r="Q104" s="27">
        <v>31.812000000000001</v>
      </c>
      <c r="S104" s="27">
        <v>124.349</v>
      </c>
      <c r="T104" s="27">
        <v>32.347000000000001</v>
      </c>
    </row>
    <row r="105" spans="1:20" x14ac:dyDescent="0.25">
      <c r="A105" s="27">
        <v>98.478999999999999</v>
      </c>
      <c r="B105" s="27">
        <v>32.75</v>
      </c>
      <c r="G105" s="25"/>
      <c r="H105" s="27">
        <v>34.357999999999997</v>
      </c>
      <c r="J105" s="27">
        <v>103.05200000000001</v>
      </c>
      <c r="K105" s="27">
        <v>31.742000000000001</v>
      </c>
      <c r="M105" s="27">
        <v>100.169</v>
      </c>
      <c r="N105" s="27">
        <v>33.091999999999999</v>
      </c>
      <c r="P105" s="27">
        <v>103.196</v>
      </c>
      <c r="Q105" s="27">
        <v>32.048999999999999</v>
      </c>
      <c r="S105" s="27">
        <v>122.997</v>
      </c>
      <c r="T105" s="27">
        <v>33.009</v>
      </c>
    </row>
    <row r="106" spans="1:20" x14ac:dyDescent="0.25">
      <c r="A106" s="27">
        <v>99.537999999999997</v>
      </c>
      <c r="B106" s="27">
        <v>32.640999999999998</v>
      </c>
      <c r="G106" s="25"/>
      <c r="H106" s="27">
        <v>32.371000000000002</v>
      </c>
      <c r="J106" s="27">
        <v>100.84</v>
      </c>
      <c r="K106" s="27">
        <v>32.695</v>
      </c>
      <c r="M106" s="27">
        <v>100.032</v>
      </c>
      <c r="N106" s="27">
        <v>31.577999999999999</v>
      </c>
      <c r="P106" s="27">
        <v>92.739000000000004</v>
      </c>
      <c r="Q106" s="27">
        <v>34.152999999999999</v>
      </c>
      <c r="S106" s="27">
        <v>132.82</v>
      </c>
      <c r="T106" s="27">
        <v>31.600999999999999</v>
      </c>
    </row>
    <row r="107" spans="1:20" x14ac:dyDescent="0.25">
      <c r="A107" s="27">
        <v>99.513000000000005</v>
      </c>
      <c r="B107" s="27">
        <v>34.097999999999999</v>
      </c>
      <c r="G107" s="25"/>
      <c r="H107" s="27">
        <v>31.803000000000001</v>
      </c>
      <c r="J107" s="27">
        <v>102.09</v>
      </c>
      <c r="K107" s="27">
        <v>36.442</v>
      </c>
      <c r="M107" s="27">
        <v>104.825</v>
      </c>
      <c r="N107" s="27">
        <v>31.628</v>
      </c>
      <c r="P107" s="27">
        <v>103.02500000000001</v>
      </c>
      <c r="Q107" s="27">
        <v>32.052</v>
      </c>
      <c r="S107" s="27">
        <v>123.407</v>
      </c>
      <c r="T107" s="27">
        <v>34.549999999999997</v>
      </c>
    </row>
    <row r="108" spans="1:20" x14ac:dyDescent="0.25">
      <c r="A108" s="27">
        <v>97.605000000000004</v>
      </c>
      <c r="B108" s="27">
        <v>34.811</v>
      </c>
      <c r="G108" s="25"/>
      <c r="H108" s="27">
        <v>33.353999999999999</v>
      </c>
      <c r="J108" s="27">
        <v>95.426000000000002</v>
      </c>
      <c r="K108" s="27">
        <v>32.56</v>
      </c>
      <c r="M108" s="27">
        <v>102.343</v>
      </c>
      <c r="N108" s="27">
        <v>31.856000000000002</v>
      </c>
      <c r="P108" s="27">
        <v>101.575</v>
      </c>
      <c r="Q108" s="27">
        <v>31.24</v>
      </c>
      <c r="S108" s="27">
        <v>128.852</v>
      </c>
      <c r="T108" s="27">
        <v>31.984999999999999</v>
      </c>
    </row>
    <row r="109" spans="1:20" x14ac:dyDescent="0.25">
      <c r="A109" s="27">
        <v>101.191</v>
      </c>
      <c r="B109" s="27">
        <v>32.058999999999997</v>
      </c>
      <c r="G109" s="25"/>
      <c r="H109" s="27">
        <v>34.835000000000001</v>
      </c>
      <c r="J109" s="27">
        <v>101.105</v>
      </c>
      <c r="K109" s="27">
        <v>33.703000000000003</v>
      </c>
      <c r="M109" s="27">
        <v>100.907</v>
      </c>
      <c r="N109" s="27">
        <v>32.110999999999997</v>
      </c>
      <c r="P109" s="27">
        <v>100.241</v>
      </c>
      <c r="Q109" s="27">
        <v>31.646999999999998</v>
      </c>
      <c r="S109" s="27">
        <v>121.199</v>
      </c>
      <c r="T109" s="27">
        <v>29.524000000000001</v>
      </c>
    </row>
    <row r="110" spans="1:20" x14ac:dyDescent="0.25">
      <c r="A110" s="27">
        <v>101.04</v>
      </c>
      <c r="B110" s="27">
        <v>31.437999999999999</v>
      </c>
      <c r="G110" s="25"/>
      <c r="H110" s="27">
        <v>32.438000000000002</v>
      </c>
      <c r="J110" s="27">
        <v>100.13</v>
      </c>
      <c r="K110" s="27">
        <v>33.286000000000001</v>
      </c>
      <c r="M110" s="27">
        <v>99.384</v>
      </c>
      <c r="N110" s="27">
        <v>32.43</v>
      </c>
      <c r="P110" s="27">
        <v>103.66200000000001</v>
      </c>
      <c r="Q110" s="27">
        <v>32.902999999999999</v>
      </c>
      <c r="S110" s="27">
        <v>125.80800000000001</v>
      </c>
      <c r="T110" s="27">
        <v>32.271999999999998</v>
      </c>
    </row>
    <row r="111" spans="1:20" x14ac:dyDescent="0.25">
      <c r="A111" s="27">
        <v>97.539000000000001</v>
      </c>
      <c r="B111" s="27">
        <v>32.822000000000003</v>
      </c>
      <c r="G111" s="25"/>
      <c r="H111" s="27">
        <v>33.36</v>
      </c>
      <c r="J111" s="27">
        <v>104.527</v>
      </c>
      <c r="K111" s="27">
        <v>32.698</v>
      </c>
      <c r="M111" s="27">
        <v>100.223</v>
      </c>
      <c r="N111" s="27">
        <v>31.888999999999999</v>
      </c>
      <c r="P111" s="27">
        <v>96.72</v>
      </c>
      <c r="Q111" s="27">
        <v>32.892000000000003</v>
      </c>
      <c r="S111" s="27">
        <v>125.32</v>
      </c>
      <c r="T111" s="27">
        <v>32.844000000000001</v>
      </c>
    </row>
    <row r="112" spans="1:20" x14ac:dyDescent="0.25">
      <c r="A112" s="27">
        <v>96.096999999999994</v>
      </c>
      <c r="B112" s="27">
        <v>33.914000000000001</v>
      </c>
      <c r="G112" s="25"/>
      <c r="H112" s="27">
        <v>34.273000000000003</v>
      </c>
      <c r="J112" s="27">
        <v>104.01900000000001</v>
      </c>
      <c r="K112" s="27">
        <v>32.146999999999998</v>
      </c>
      <c r="M112" s="27">
        <v>102.73099999999999</v>
      </c>
      <c r="N112" s="27">
        <v>32.290999999999997</v>
      </c>
      <c r="P112" s="27">
        <v>105.15</v>
      </c>
      <c r="Q112" s="27">
        <v>32.210999999999999</v>
      </c>
      <c r="S112" s="27">
        <v>129.41</v>
      </c>
      <c r="T112" s="27">
        <v>33.994999999999997</v>
      </c>
    </row>
    <row r="113" spans="1:20" x14ac:dyDescent="0.25">
      <c r="A113" s="27">
        <v>97.387</v>
      </c>
      <c r="B113" s="27">
        <v>33.325000000000003</v>
      </c>
      <c r="G113" s="25"/>
      <c r="H113" s="27">
        <v>32.890999999999998</v>
      </c>
      <c r="J113" s="27">
        <v>101.498</v>
      </c>
      <c r="K113" s="27">
        <v>32.53</v>
      </c>
      <c r="M113" s="27">
        <v>100.907</v>
      </c>
      <c r="N113" s="27">
        <v>31.963000000000001</v>
      </c>
      <c r="P113" s="27">
        <v>99.808999999999997</v>
      </c>
      <c r="Q113" s="27">
        <v>32.838999999999999</v>
      </c>
      <c r="S113" s="27">
        <v>130.792</v>
      </c>
      <c r="T113" s="27">
        <v>32.549999999999997</v>
      </c>
    </row>
    <row r="114" spans="1:20" x14ac:dyDescent="0.25">
      <c r="A114" s="27">
        <v>97.622</v>
      </c>
      <c r="B114" s="27">
        <v>31.25</v>
      </c>
      <c r="J114" s="27">
        <v>103.078</v>
      </c>
      <c r="K114" s="27">
        <v>31.106000000000002</v>
      </c>
      <c r="M114" s="27">
        <v>104.88</v>
      </c>
      <c r="N114" s="27">
        <v>30.952999999999999</v>
      </c>
      <c r="P114" s="27">
        <v>105.09099999999999</v>
      </c>
      <c r="Q114" s="27">
        <v>31.561</v>
      </c>
      <c r="S114" s="27">
        <v>124.193</v>
      </c>
      <c r="T114" s="27">
        <v>35.381</v>
      </c>
    </row>
    <row r="115" spans="1:20" x14ac:dyDescent="0.25">
      <c r="A115" s="27">
        <v>96.685000000000002</v>
      </c>
      <c r="B115" s="27">
        <v>34.189</v>
      </c>
      <c r="J115" s="27">
        <v>100.871</v>
      </c>
      <c r="K115" s="27">
        <v>33.054000000000002</v>
      </c>
      <c r="M115" s="27">
        <v>101.194</v>
      </c>
      <c r="N115" s="27">
        <v>33.249000000000002</v>
      </c>
      <c r="P115" s="27">
        <v>103.383</v>
      </c>
      <c r="Q115" s="27">
        <v>33.372999999999998</v>
      </c>
      <c r="S115" s="27">
        <v>121.771</v>
      </c>
      <c r="T115" s="27">
        <v>33.759</v>
      </c>
    </row>
    <row r="116" spans="1:20" x14ac:dyDescent="0.25">
      <c r="A116" s="27">
        <v>99.628</v>
      </c>
      <c r="B116" s="27">
        <v>33.073999999999998</v>
      </c>
      <c r="J116" s="27">
        <v>104.9</v>
      </c>
      <c r="K116" s="27">
        <v>32.396999999999998</v>
      </c>
      <c r="M116" s="27">
        <v>101.639</v>
      </c>
      <c r="N116" s="27">
        <v>32.652999999999999</v>
      </c>
      <c r="P116" s="27">
        <v>103.52200000000001</v>
      </c>
      <c r="Q116" s="27">
        <v>33.051000000000002</v>
      </c>
      <c r="S116" s="27">
        <v>126.70399999999999</v>
      </c>
      <c r="T116" s="27">
        <v>32.673000000000002</v>
      </c>
    </row>
    <row r="117" spans="1:20" x14ac:dyDescent="0.25">
      <c r="A117" s="27">
        <v>100.45</v>
      </c>
      <c r="B117" s="27">
        <v>32.768999999999998</v>
      </c>
      <c r="J117" s="27">
        <v>103.535</v>
      </c>
      <c r="K117" s="27">
        <v>33.366999999999997</v>
      </c>
      <c r="M117" s="27">
        <v>103.06</v>
      </c>
      <c r="N117" s="27">
        <v>33.493000000000002</v>
      </c>
      <c r="P117" s="27">
        <v>97.686999999999998</v>
      </c>
      <c r="Q117" s="27">
        <v>33.648000000000003</v>
      </c>
      <c r="S117" s="27">
        <v>128.47300000000001</v>
      </c>
      <c r="T117" s="27">
        <v>31.038</v>
      </c>
    </row>
    <row r="118" spans="1:20" x14ac:dyDescent="0.25">
      <c r="A118" s="27">
        <v>92.625</v>
      </c>
      <c r="B118" s="27">
        <v>32.28</v>
      </c>
      <c r="J118" s="27">
        <v>88.606999999999999</v>
      </c>
      <c r="K118" s="27">
        <v>33.500999999999998</v>
      </c>
      <c r="M118" s="27">
        <v>103.01600000000001</v>
      </c>
      <c r="N118" s="27">
        <v>33.271000000000001</v>
      </c>
      <c r="P118" s="27">
        <v>101.98</v>
      </c>
      <c r="Q118" s="27">
        <v>33.536999999999999</v>
      </c>
      <c r="S118" s="27">
        <v>131.232</v>
      </c>
      <c r="T118" s="27">
        <v>36.582999999999998</v>
      </c>
    </row>
    <row r="119" spans="1:20" x14ac:dyDescent="0.25">
      <c r="A119" s="27">
        <v>85.841999999999999</v>
      </c>
      <c r="B119" s="27">
        <v>30.556000000000001</v>
      </c>
      <c r="J119" s="27">
        <v>100.97199999999999</v>
      </c>
      <c r="K119" s="27">
        <v>33.088000000000001</v>
      </c>
      <c r="M119" s="27">
        <v>101.82</v>
      </c>
      <c r="N119" s="27">
        <v>33.454999999999998</v>
      </c>
      <c r="P119" s="27">
        <v>103.672</v>
      </c>
      <c r="Q119" s="27">
        <v>32.679000000000002</v>
      </c>
      <c r="S119" s="27">
        <v>127.502</v>
      </c>
      <c r="T119" s="27">
        <v>28.6</v>
      </c>
    </row>
    <row r="120" spans="1:20" x14ac:dyDescent="0.25">
      <c r="A120" s="27">
        <v>101.64100000000001</v>
      </c>
      <c r="B120" s="27">
        <v>31.518000000000001</v>
      </c>
      <c r="J120" s="27">
        <v>102.047</v>
      </c>
      <c r="K120" s="27">
        <v>33.264000000000003</v>
      </c>
      <c r="M120" s="27">
        <v>97.403999999999996</v>
      </c>
      <c r="N120" s="27">
        <v>32.264000000000003</v>
      </c>
      <c r="P120" s="27">
        <v>103.788</v>
      </c>
      <c r="Q120" s="27">
        <v>34.158000000000001</v>
      </c>
      <c r="S120" s="27">
        <v>124.718</v>
      </c>
      <c r="T120" s="27">
        <v>33.136000000000003</v>
      </c>
    </row>
    <row r="121" spans="1:20" x14ac:dyDescent="0.25">
      <c r="A121" s="27">
        <v>98.51</v>
      </c>
      <c r="B121" s="27">
        <v>33.344000000000001</v>
      </c>
      <c r="J121" s="27">
        <v>99.858000000000004</v>
      </c>
      <c r="K121" s="27">
        <v>33.503999999999998</v>
      </c>
      <c r="M121" s="27">
        <v>99.167000000000002</v>
      </c>
      <c r="N121" s="27">
        <v>33.720999999999997</v>
      </c>
      <c r="P121" s="27">
        <v>103.40600000000001</v>
      </c>
      <c r="Q121" s="27">
        <v>33.369</v>
      </c>
      <c r="S121" s="27">
        <v>128.136</v>
      </c>
      <c r="T121" s="27">
        <v>33.118000000000002</v>
      </c>
    </row>
    <row r="122" spans="1:20" x14ac:dyDescent="0.25">
      <c r="A122" s="27">
        <v>102.355</v>
      </c>
      <c r="B122" s="27">
        <v>31.690999999999999</v>
      </c>
      <c r="J122" s="27">
        <v>94.539000000000001</v>
      </c>
      <c r="K122" s="27">
        <v>32.667999999999999</v>
      </c>
      <c r="M122" s="27">
        <v>96.775000000000006</v>
      </c>
      <c r="N122" s="27">
        <v>34.698999999999998</v>
      </c>
      <c r="P122" s="27">
        <v>96.825000000000003</v>
      </c>
      <c r="Q122" s="27">
        <v>32.587000000000003</v>
      </c>
      <c r="S122" s="27">
        <v>112.09399999999999</v>
      </c>
      <c r="T122" s="27">
        <v>31.071000000000002</v>
      </c>
    </row>
    <row r="123" spans="1:20" x14ac:dyDescent="0.25">
      <c r="A123" s="27">
        <v>98.623000000000005</v>
      </c>
      <c r="B123" s="27">
        <v>32.948</v>
      </c>
      <c r="J123" s="27">
        <v>102.68300000000001</v>
      </c>
      <c r="K123" s="27">
        <v>31.626000000000001</v>
      </c>
      <c r="M123" s="27">
        <v>100.611</v>
      </c>
      <c r="N123" s="27">
        <v>33.512999999999998</v>
      </c>
      <c r="P123" s="27">
        <v>104.268</v>
      </c>
      <c r="Q123" s="27">
        <v>33.185000000000002</v>
      </c>
      <c r="S123" s="27">
        <v>97.650999999999996</v>
      </c>
      <c r="T123" s="27">
        <v>36.363</v>
      </c>
    </row>
    <row r="124" spans="1:20" x14ac:dyDescent="0.25">
      <c r="A124" s="27">
        <v>97.891999999999996</v>
      </c>
      <c r="B124" s="27">
        <v>31.318999999999999</v>
      </c>
      <c r="J124" s="27">
        <v>102.593</v>
      </c>
      <c r="K124" s="27">
        <v>33.268000000000001</v>
      </c>
      <c r="M124" s="27">
        <v>101.681</v>
      </c>
      <c r="N124" s="27">
        <v>32.823</v>
      </c>
      <c r="P124" s="27">
        <v>93.664000000000001</v>
      </c>
      <c r="Q124" s="27">
        <v>34.982999999999997</v>
      </c>
      <c r="S124" s="27">
        <v>123.986</v>
      </c>
      <c r="T124" s="27">
        <v>33.009</v>
      </c>
    </row>
    <row r="125" spans="1:20" x14ac:dyDescent="0.25">
      <c r="A125" s="25"/>
      <c r="B125" s="27">
        <v>30.971</v>
      </c>
      <c r="J125" s="27">
        <v>103.291</v>
      </c>
      <c r="K125" s="27">
        <v>32.301000000000002</v>
      </c>
      <c r="M125" s="27">
        <v>99.748999999999995</v>
      </c>
      <c r="N125" s="27">
        <v>33.49</v>
      </c>
      <c r="P125" s="27">
        <v>107.53400000000001</v>
      </c>
      <c r="Q125" s="27">
        <v>33.654000000000003</v>
      </c>
      <c r="S125" s="27">
        <v>111.303</v>
      </c>
      <c r="T125" s="27">
        <v>34.81</v>
      </c>
    </row>
    <row r="126" spans="1:20" x14ac:dyDescent="0.25">
      <c r="A126" s="25"/>
      <c r="B126" s="27">
        <v>30.222000000000001</v>
      </c>
      <c r="J126" s="27">
        <v>99.546000000000006</v>
      </c>
      <c r="K126" s="27">
        <v>32.293999999999997</v>
      </c>
      <c r="M126" s="27">
        <v>102.256</v>
      </c>
      <c r="N126" s="27">
        <v>34.177</v>
      </c>
      <c r="P126" s="27">
        <v>104.468</v>
      </c>
      <c r="Q126" s="27">
        <v>32.866</v>
      </c>
      <c r="S126" s="27">
        <v>122.465</v>
      </c>
      <c r="T126" s="27">
        <v>32.271999999999998</v>
      </c>
    </row>
    <row r="127" spans="1:20" x14ac:dyDescent="0.25">
      <c r="A127" s="25"/>
      <c r="B127" s="27">
        <v>33.130000000000003</v>
      </c>
      <c r="J127" s="27">
        <v>100.95</v>
      </c>
      <c r="K127" s="27">
        <v>29.416</v>
      </c>
      <c r="M127" s="27">
        <v>100.907</v>
      </c>
      <c r="N127" s="27">
        <v>34.017000000000003</v>
      </c>
      <c r="P127" s="27">
        <v>104.166</v>
      </c>
      <c r="Q127" s="27">
        <v>32.53</v>
      </c>
      <c r="S127" s="27">
        <v>128.221</v>
      </c>
      <c r="T127" s="27">
        <v>30.334</v>
      </c>
    </row>
    <row r="128" spans="1:20" x14ac:dyDescent="0.25">
      <c r="A128" s="25"/>
      <c r="B128" s="27">
        <v>32.127000000000002</v>
      </c>
      <c r="J128" s="27">
        <v>100.03400000000001</v>
      </c>
      <c r="K128" s="27">
        <v>31.329000000000001</v>
      </c>
      <c r="M128" s="27">
        <v>97.65</v>
      </c>
      <c r="N128" s="27">
        <v>34.091000000000001</v>
      </c>
      <c r="P128" s="27">
        <v>102.23</v>
      </c>
      <c r="Q128" s="27">
        <v>35.332999999999998</v>
      </c>
      <c r="S128" s="27">
        <v>124.82599999999999</v>
      </c>
      <c r="T128" s="27">
        <v>32.277999999999999</v>
      </c>
    </row>
    <row r="129" spans="1:20" x14ac:dyDescent="0.25">
      <c r="A129" s="25"/>
      <c r="B129" s="27">
        <v>31.013000000000002</v>
      </c>
      <c r="J129" s="27">
        <v>104.264</v>
      </c>
      <c r="K129" s="27">
        <v>32.790999999999997</v>
      </c>
      <c r="M129" s="27">
        <v>100.742</v>
      </c>
      <c r="N129" s="27">
        <v>33.473999999999997</v>
      </c>
      <c r="P129" s="27">
        <v>103.827</v>
      </c>
      <c r="Q129" s="27">
        <v>33.606000000000002</v>
      </c>
      <c r="S129" s="27">
        <v>124.85899999999999</v>
      </c>
      <c r="T129" s="27">
        <v>28.6</v>
      </c>
    </row>
    <row r="130" spans="1:20" x14ac:dyDescent="0.25">
      <c r="A130" s="25"/>
      <c r="B130" s="27">
        <v>32.959000000000003</v>
      </c>
      <c r="J130" s="27">
        <v>98.325999999999993</v>
      </c>
      <c r="K130" s="27">
        <v>34.295999999999999</v>
      </c>
      <c r="M130" s="27">
        <v>102.449</v>
      </c>
      <c r="N130" s="25"/>
      <c r="P130" s="27">
        <v>102.822</v>
      </c>
      <c r="Q130" s="27">
        <v>31.308</v>
      </c>
      <c r="S130" s="27">
        <v>119.756</v>
      </c>
      <c r="T130" s="27">
        <v>33.401000000000003</v>
      </c>
    </row>
    <row r="131" spans="1:20" x14ac:dyDescent="0.25">
      <c r="A131" s="25"/>
      <c r="B131" s="27">
        <v>31.236000000000001</v>
      </c>
      <c r="J131" s="27">
        <v>103.006</v>
      </c>
      <c r="K131" s="27">
        <v>31.251000000000001</v>
      </c>
      <c r="M131" s="27">
        <v>100.539</v>
      </c>
      <c r="N131" s="25"/>
      <c r="P131" s="27">
        <v>104.48099999999999</v>
      </c>
      <c r="Q131" s="27">
        <v>33.511000000000003</v>
      </c>
      <c r="S131" s="27">
        <v>123.986</v>
      </c>
      <c r="T131" s="27">
        <v>30.57</v>
      </c>
    </row>
    <row r="132" spans="1:20" x14ac:dyDescent="0.25">
      <c r="A132" s="25"/>
      <c r="B132" s="27">
        <v>34.177</v>
      </c>
      <c r="J132" s="27">
        <v>99.480999999999995</v>
      </c>
      <c r="K132" s="27">
        <v>33.436</v>
      </c>
      <c r="M132" s="27">
        <v>105.28</v>
      </c>
      <c r="N132" s="25"/>
      <c r="P132" s="27">
        <v>100.842</v>
      </c>
      <c r="Q132" s="27">
        <v>32.124000000000002</v>
      </c>
      <c r="S132" s="27">
        <v>119.307</v>
      </c>
      <c r="T132" s="27">
        <v>31.721</v>
      </c>
    </row>
    <row r="133" spans="1:20" x14ac:dyDescent="0.25">
      <c r="A133" s="25"/>
      <c r="B133" s="27">
        <v>30.045999999999999</v>
      </c>
      <c r="J133" s="27">
        <v>100.044</v>
      </c>
      <c r="K133" s="27">
        <v>33.417999999999999</v>
      </c>
      <c r="M133" s="27">
        <v>98.521000000000001</v>
      </c>
      <c r="N133" s="25"/>
      <c r="P133" s="27">
        <v>101.81699999999999</v>
      </c>
      <c r="Q133" s="27">
        <v>33.220999999999997</v>
      </c>
      <c r="S133" s="27">
        <v>102.81699999999999</v>
      </c>
      <c r="T133" s="27">
        <v>32.271999999999998</v>
      </c>
    </row>
    <row r="134" spans="1:20" x14ac:dyDescent="0.25">
      <c r="A134" s="25"/>
      <c r="B134" s="27">
        <v>32.021000000000001</v>
      </c>
      <c r="J134" s="27">
        <v>98.331999999999994</v>
      </c>
      <c r="K134" s="27">
        <v>34.003</v>
      </c>
      <c r="M134" s="27">
        <v>99.167000000000002</v>
      </c>
      <c r="N134" s="25"/>
      <c r="P134" s="27">
        <v>99.936000000000007</v>
      </c>
      <c r="Q134" s="27">
        <v>35.238999999999997</v>
      </c>
      <c r="S134" s="27">
        <v>109.09</v>
      </c>
      <c r="T134" s="27">
        <v>32.085999999999999</v>
      </c>
    </row>
    <row r="135" spans="1:20" x14ac:dyDescent="0.25">
      <c r="A135" s="25"/>
      <c r="B135" s="27">
        <v>30.76</v>
      </c>
      <c r="J135" s="27">
        <v>100.405</v>
      </c>
      <c r="K135" s="27">
        <v>35.262</v>
      </c>
      <c r="M135" s="27">
        <v>101.22499999999999</v>
      </c>
      <c r="N135" s="25"/>
      <c r="P135" s="27">
        <v>102.616</v>
      </c>
      <c r="Q135" s="27">
        <v>34.74</v>
      </c>
      <c r="S135" s="27">
        <v>127.502</v>
      </c>
      <c r="T135" s="27">
        <v>29.442</v>
      </c>
    </row>
    <row r="136" spans="1:20" x14ac:dyDescent="0.25">
      <c r="A136" s="25"/>
      <c r="B136" s="27">
        <v>31.571000000000002</v>
      </c>
      <c r="J136" s="27">
        <v>101.76600000000001</v>
      </c>
      <c r="K136" s="27">
        <v>33.706000000000003</v>
      </c>
      <c r="M136" s="27">
        <v>101.19</v>
      </c>
      <c r="N136" s="25"/>
      <c r="P136" s="27">
        <v>102.339</v>
      </c>
      <c r="Q136" s="27">
        <v>31.373000000000001</v>
      </c>
      <c r="S136" s="27">
        <v>122.729</v>
      </c>
      <c r="T136" s="27">
        <v>28.872</v>
      </c>
    </row>
    <row r="137" spans="1:20" x14ac:dyDescent="0.25">
      <c r="A137" s="25"/>
      <c r="B137" s="27">
        <v>33.468000000000004</v>
      </c>
      <c r="J137" s="27">
        <v>96.138000000000005</v>
      </c>
      <c r="K137" s="27">
        <v>32.348999999999997</v>
      </c>
      <c r="M137" s="27">
        <v>95.007999999999996</v>
      </c>
      <c r="N137" s="25"/>
      <c r="P137" s="27">
        <v>102.249</v>
      </c>
      <c r="Q137" s="27">
        <v>33.768000000000001</v>
      </c>
      <c r="S137" s="27">
        <v>125.708</v>
      </c>
      <c r="T137" s="27">
        <v>31.984999999999999</v>
      </c>
    </row>
    <row r="138" spans="1:20" x14ac:dyDescent="0.25">
      <c r="J138" s="27">
        <v>100.846</v>
      </c>
      <c r="K138" s="27">
        <v>30.456</v>
      </c>
      <c r="M138" s="27">
        <v>92.650999999999996</v>
      </c>
      <c r="N138" s="25"/>
      <c r="P138" s="27">
        <v>101.92100000000001</v>
      </c>
      <c r="Q138" s="27">
        <v>33.869</v>
      </c>
      <c r="S138" s="27">
        <v>105.86199999999999</v>
      </c>
      <c r="T138" s="27">
        <v>32.838000000000001</v>
      </c>
    </row>
    <row r="139" spans="1:20" x14ac:dyDescent="0.25">
      <c r="J139" s="27">
        <v>96.957999999999998</v>
      </c>
      <c r="K139" s="27">
        <v>31.317</v>
      </c>
      <c r="M139" s="27">
        <v>100.639</v>
      </c>
      <c r="N139" s="25"/>
      <c r="P139" s="25"/>
      <c r="Q139" s="27">
        <v>34.264000000000003</v>
      </c>
      <c r="S139" s="27">
        <v>131.685</v>
      </c>
      <c r="T139" s="27">
        <v>28.305</v>
      </c>
    </row>
    <row r="140" spans="1:20" x14ac:dyDescent="0.25">
      <c r="J140" s="27">
        <v>103.747</v>
      </c>
      <c r="K140" s="27">
        <v>31.652999999999999</v>
      </c>
      <c r="M140" s="27">
        <v>96.299000000000007</v>
      </c>
      <c r="N140" s="25"/>
      <c r="P140" s="25"/>
      <c r="Q140" s="27">
        <v>33.261000000000003</v>
      </c>
      <c r="S140" s="27">
        <v>130.47800000000001</v>
      </c>
      <c r="T140" s="27">
        <v>33.118000000000002</v>
      </c>
    </row>
    <row r="141" spans="1:20" x14ac:dyDescent="0.25">
      <c r="J141" s="27">
        <v>97.944000000000003</v>
      </c>
      <c r="K141" s="27">
        <v>32.847999999999999</v>
      </c>
      <c r="M141" s="27">
        <v>96.001999999999995</v>
      </c>
      <c r="N141" s="25"/>
      <c r="P141" s="25"/>
      <c r="Q141" s="27">
        <v>31.780999999999999</v>
      </c>
      <c r="S141" s="27">
        <v>122.36499999999999</v>
      </c>
      <c r="T141" s="27">
        <v>29.72</v>
      </c>
    </row>
    <row r="142" spans="1:20" x14ac:dyDescent="0.25">
      <c r="J142" s="25"/>
      <c r="K142" s="27">
        <v>33.823</v>
      </c>
      <c r="M142" s="27">
        <v>102.447</v>
      </c>
      <c r="N142" s="25"/>
      <c r="P142" s="25"/>
      <c r="Q142" s="27">
        <v>32.066000000000003</v>
      </c>
      <c r="S142" s="27">
        <v>126.23699999999999</v>
      </c>
      <c r="T142" s="27">
        <v>35.107999999999997</v>
      </c>
    </row>
    <row r="143" spans="1:20" x14ac:dyDescent="0.25">
      <c r="J143" s="25"/>
      <c r="K143" s="27">
        <v>32.456000000000003</v>
      </c>
      <c r="M143" s="27">
        <v>95.74</v>
      </c>
      <c r="N143" s="25"/>
      <c r="P143" s="25"/>
      <c r="Q143" s="27">
        <v>35.301000000000002</v>
      </c>
      <c r="S143" s="27">
        <v>121.64100000000001</v>
      </c>
      <c r="T143" s="27">
        <v>30.286999999999999</v>
      </c>
    </row>
    <row r="144" spans="1:20" x14ac:dyDescent="0.25">
      <c r="J144" s="25"/>
      <c r="K144" s="27">
        <v>31.751999999999999</v>
      </c>
      <c r="M144" s="27">
        <v>99.128</v>
      </c>
      <c r="N144" s="25"/>
      <c r="P144" s="25"/>
      <c r="Q144" s="27">
        <v>34.362000000000002</v>
      </c>
      <c r="S144" s="27">
        <v>123.655</v>
      </c>
      <c r="T144" s="27">
        <v>35.408999999999999</v>
      </c>
    </row>
    <row r="145" spans="10:20" x14ac:dyDescent="0.25">
      <c r="J145" s="25"/>
      <c r="K145" s="27">
        <v>33.502000000000002</v>
      </c>
      <c r="M145" s="27">
        <v>100.479</v>
      </c>
      <c r="N145" s="25"/>
      <c r="P145" s="25"/>
      <c r="Q145" s="27">
        <v>34.075000000000003</v>
      </c>
      <c r="S145" s="27">
        <v>129.18700000000001</v>
      </c>
      <c r="T145" s="27">
        <v>32.673000000000002</v>
      </c>
    </row>
    <row r="146" spans="10:20" x14ac:dyDescent="0.25">
      <c r="J146" s="25"/>
      <c r="K146" s="27">
        <v>32.409999999999997</v>
      </c>
      <c r="M146" s="27">
        <v>98.046000000000006</v>
      </c>
      <c r="N146" s="25"/>
      <c r="P146" s="25"/>
      <c r="Q146" s="27">
        <v>32.938000000000002</v>
      </c>
      <c r="S146" s="27">
        <v>123.41800000000001</v>
      </c>
      <c r="T146" s="27">
        <v>31.135000000000002</v>
      </c>
    </row>
    <row r="147" spans="10:20" x14ac:dyDescent="0.25">
      <c r="J147" s="25"/>
      <c r="K147" s="27">
        <v>33.01</v>
      </c>
      <c r="M147" s="27">
        <v>100.071</v>
      </c>
      <c r="N147" s="25"/>
      <c r="P147" s="25"/>
      <c r="Q147" s="27">
        <v>32.728000000000002</v>
      </c>
      <c r="S147" s="27">
        <v>123.782</v>
      </c>
      <c r="T147" s="27">
        <v>30.446000000000002</v>
      </c>
    </row>
    <row r="148" spans="10:20" x14ac:dyDescent="0.25">
      <c r="J148" s="25"/>
      <c r="K148" s="27">
        <v>31.213999999999999</v>
      </c>
      <c r="M148" s="27">
        <v>100.863</v>
      </c>
      <c r="N148" s="25"/>
      <c r="P148" s="25"/>
      <c r="Q148" s="27">
        <v>31.702999999999999</v>
      </c>
      <c r="S148" s="27">
        <v>127.44199999999999</v>
      </c>
      <c r="T148" s="27">
        <v>30.675000000000001</v>
      </c>
    </row>
    <row r="149" spans="10:20" x14ac:dyDescent="0.25">
      <c r="J149" s="25"/>
      <c r="K149" s="27">
        <v>33.229999999999997</v>
      </c>
      <c r="M149" s="27">
        <v>101.767</v>
      </c>
      <c r="N149" s="25"/>
      <c r="P149" s="25"/>
      <c r="Q149" s="27">
        <v>32.369999999999997</v>
      </c>
      <c r="S149" s="27">
        <v>124.486</v>
      </c>
      <c r="T149" s="27">
        <v>33.634</v>
      </c>
    </row>
    <row r="150" spans="10:20" x14ac:dyDescent="0.25">
      <c r="J150" s="25"/>
      <c r="K150" s="27">
        <v>31.71</v>
      </c>
      <c r="M150" s="27">
        <v>100.434</v>
      </c>
      <c r="N150" s="25"/>
      <c r="P150" s="25"/>
      <c r="Q150" s="27">
        <v>31.658999999999999</v>
      </c>
      <c r="S150" s="27">
        <v>120.82</v>
      </c>
      <c r="T150" s="27">
        <v>33.496000000000002</v>
      </c>
    </row>
    <row r="151" spans="10:20" x14ac:dyDescent="0.25">
      <c r="J151" s="25"/>
      <c r="K151" s="27">
        <v>33.328000000000003</v>
      </c>
      <c r="M151" s="27">
        <v>98.837999999999994</v>
      </c>
      <c r="N151" s="25"/>
      <c r="P151" s="25"/>
      <c r="Q151" s="27">
        <v>31.847000000000001</v>
      </c>
      <c r="S151" s="27">
        <v>104.88200000000001</v>
      </c>
      <c r="T151" s="27">
        <v>29.038</v>
      </c>
    </row>
    <row r="152" spans="10:20" x14ac:dyDescent="0.25">
      <c r="J152" s="25"/>
      <c r="K152" s="27">
        <v>33.036000000000001</v>
      </c>
      <c r="M152" s="27">
        <v>98.344999999999999</v>
      </c>
      <c r="N152" s="25"/>
      <c r="P152" s="25"/>
      <c r="Q152" s="27">
        <v>33.091000000000001</v>
      </c>
      <c r="S152" s="27">
        <v>127.002</v>
      </c>
      <c r="T152" s="27">
        <v>33.853000000000002</v>
      </c>
    </row>
    <row r="153" spans="10:20" x14ac:dyDescent="0.25">
      <c r="J153" s="25"/>
      <c r="K153" s="27">
        <v>31.806999999999999</v>
      </c>
      <c r="M153" s="27">
        <v>101.508</v>
      </c>
      <c r="N153" s="25"/>
      <c r="P153" s="25"/>
      <c r="Q153" s="27">
        <v>35.502000000000002</v>
      </c>
      <c r="S153" s="27">
        <v>124.117</v>
      </c>
      <c r="T153" s="27">
        <v>30.916</v>
      </c>
    </row>
    <row r="154" spans="10:20" x14ac:dyDescent="0.25">
      <c r="J154" s="25"/>
      <c r="K154" s="27">
        <v>31.43</v>
      </c>
      <c r="M154" s="27">
        <v>100.357</v>
      </c>
      <c r="N154" s="25"/>
      <c r="P154" s="25"/>
      <c r="Q154" s="27">
        <v>32.381</v>
      </c>
      <c r="S154" s="27">
        <v>123.553</v>
      </c>
      <c r="T154" s="27">
        <v>32.673000000000002</v>
      </c>
    </row>
    <row r="155" spans="10:20" x14ac:dyDescent="0.25">
      <c r="J155" s="25"/>
      <c r="K155" s="27">
        <v>33.359000000000002</v>
      </c>
      <c r="M155" s="27">
        <v>100.04300000000001</v>
      </c>
      <c r="N155" s="25"/>
      <c r="P155" s="25"/>
      <c r="Q155" s="27">
        <v>33.335000000000001</v>
      </c>
      <c r="S155" s="27">
        <v>110.408</v>
      </c>
      <c r="T155" s="27">
        <v>31.747</v>
      </c>
    </row>
    <row r="156" spans="10:20" x14ac:dyDescent="0.25">
      <c r="J156" s="25"/>
      <c r="K156" s="27">
        <v>32.206000000000003</v>
      </c>
      <c r="M156" s="27">
        <v>100.758</v>
      </c>
      <c r="N156" s="25"/>
      <c r="P156" s="25"/>
      <c r="Q156" s="27">
        <v>32.884</v>
      </c>
      <c r="S156" s="27">
        <v>121.911</v>
      </c>
      <c r="T156" s="27">
        <v>30.675000000000001</v>
      </c>
    </row>
    <row r="157" spans="10:20" x14ac:dyDescent="0.25">
      <c r="M157" s="27">
        <v>100.651</v>
      </c>
      <c r="N157" s="25"/>
      <c r="P157" s="25"/>
      <c r="Q157" s="27">
        <v>32.902999999999999</v>
      </c>
      <c r="S157" s="27">
        <v>128.27699999999999</v>
      </c>
      <c r="T157" s="27">
        <v>31.167000000000002</v>
      </c>
    </row>
    <row r="158" spans="10:20" x14ac:dyDescent="0.25">
      <c r="M158" s="27">
        <v>98.137</v>
      </c>
      <c r="N158" s="25"/>
      <c r="P158" s="25"/>
      <c r="Q158" s="27">
        <v>32.774999999999999</v>
      </c>
      <c r="S158" s="27">
        <v>130.399</v>
      </c>
      <c r="T158" s="27">
        <v>32.826000000000001</v>
      </c>
    </row>
    <row r="159" spans="10:20" x14ac:dyDescent="0.25">
      <c r="M159" s="27">
        <v>100.69499999999999</v>
      </c>
      <c r="N159" s="25"/>
      <c r="P159" s="25"/>
      <c r="Q159" s="27">
        <v>32.436</v>
      </c>
      <c r="S159" s="27">
        <v>127.89700000000001</v>
      </c>
      <c r="T159" s="27">
        <v>34.64</v>
      </c>
    </row>
    <row r="160" spans="10:20" x14ac:dyDescent="0.25">
      <c r="M160" s="27">
        <v>100.928</v>
      </c>
      <c r="N160" s="25"/>
      <c r="P160" s="25"/>
      <c r="Q160" s="27">
        <v>34.073999999999998</v>
      </c>
      <c r="S160" s="27">
        <v>131.30799999999999</v>
      </c>
      <c r="T160" s="27">
        <v>33.009</v>
      </c>
    </row>
    <row r="161" spans="13:20" x14ac:dyDescent="0.25">
      <c r="M161" s="27">
        <v>100.949</v>
      </c>
      <c r="N161" s="25"/>
      <c r="P161" s="25"/>
      <c r="Q161" s="27">
        <v>33.581000000000003</v>
      </c>
      <c r="S161" s="27">
        <v>125.708</v>
      </c>
      <c r="T161" s="27">
        <v>34.598999999999997</v>
      </c>
    </row>
    <row r="162" spans="13:20" x14ac:dyDescent="0.25">
      <c r="M162" s="27">
        <v>101.127</v>
      </c>
      <c r="N162" s="25"/>
      <c r="P162" s="25"/>
      <c r="Q162" s="27">
        <v>31.76</v>
      </c>
      <c r="S162" s="27">
        <v>124.83</v>
      </c>
      <c r="T162" s="27">
        <v>30.798999999999999</v>
      </c>
    </row>
    <row r="163" spans="13:20" x14ac:dyDescent="0.25">
      <c r="M163" s="27">
        <v>97.587999999999994</v>
      </c>
      <c r="N163" s="25"/>
      <c r="P163" s="25"/>
      <c r="Q163" s="27">
        <v>34.822000000000003</v>
      </c>
      <c r="S163" s="27">
        <v>118.898</v>
      </c>
      <c r="T163" s="27">
        <v>32.606999999999999</v>
      </c>
    </row>
    <row r="164" spans="13:20" x14ac:dyDescent="0.25">
      <c r="M164" s="27">
        <v>101.086</v>
      </c>
      <c r="N164" s="25"/>
      <c r="P164" s="25"/>
      <c r="Q164" s="27">
        <v>32.264000000000003</v>
      </c>
      <c r="S164" s="27">
        <v>123.06699999999999</v>
      </c>
      <c r="T164" s="27">
        <v>31.597999999999999</v>
      </c>
    </row>
    <row r="165" spans="13:20" x14ac:dyDescent="0.25">
      <c r="M165" s="27">
        <v>98.956999999999994</v>
      </c>
      <c r="N165" s="25"/>
      <c r="P165" s="25"/>
      <c r="Q165" s="27">
        <v>32.563000000000002</v>
      </c>
      <c r="S165" s="27">
        <v>121.151</v>
      </c>
      <c r="T165" s="27">
        <v>34.174999999999997</v>
      </c>
    </row>
    <row r="166" spans="13:20" x14ac:dyDescent="0.25">
      <c r="M166" s="27">
        <v>98.578000000000003</v>
      </c>
      <c r="N166" s="25"/>
      <c r="S166" s="27">
        <v>122.089</v>
      </c>
      <c r="T166" s="27">
        <v>32.465000000000003</v>
      </c>
    </row>
    <row r="167" spans="13:20" x14ac:dyDescent="0.25">
      <c r="M167" s="27">
        <v>93.382999999999996</v>
      </c>
      <c r="N167" s="25"/>
      <c r="S167" s="27">
        <v>128.36099999999999</v>
      </c>
      <c r="T167" s="27">
        <v>33.436999999999998</v>
      </c>
    </row>
    <row r="168" spans="13:20" x14ac:dyDescent="0.25">
      <c r="M168" s="27">
        <v>105.804</v>
      </c>
      <c r="N168" s="25"/>
      <c r="S168" s="27">
        <v>128.221</v>
      </c>
      <c r="T168" s="27">
        <v>39.020000000000003</v>
      </c>
    </row>
    <row r="169" spans="13:20" x14ac:dyDescent="0.25">
      <c r="M169" s="27">
        <v>98.963999999999999</v>
      </c>
      <c r="N169" s="25"/>
      <c r="S169" s="27">
        <v>122.288</v>
      </c>
      <c r="T169" s="27">
        <v>33.597000000000001</v>
      </c>
    </row>
    <row r="170" spans="13:20" x14ac:dyDescent="0.25">
      <c r="S170" s="27">
        <v>125.708</v>
      </c>
      <c r="T170" s="27">
        <v>31.9</v>
      </c>
    </row>
    <row r="171" spans="13:20" x14ac:dyDescent="0.25">
      <c r="S171" s="27">
        <v>113.361</v>
      </c>
      <c r="T171" s="27">
        <v>32.079000000000001</v>
      </c>
    </row>
    <row r="172" spans="13:20" x14ac:dyDescent="0.25">
      <c r="S172" s="27">
        <v>128.4</v>
      </c>
      <c r="T172" s="27">
        <v>33.923999999999999</v>
      </c>
    </row>
    <row r="173" spans="13:20" x14ac:dyDescent="0.25">
      <c r="S173" s="27">
        <v>94.37</v>
      </c>
      <c r="T173" s="27">
        <v>30.427</v>
      </c>
    </row>
    <row r="174" spans="13:20" x14ac:dyDescent="0.25">
      <c r="S174" s="27">
        <v>122.73699999999999</v>
      </c>
      <c r="T174" s="27">
        <v>32.167000000000002</v>
      </c>
    </row>
    <row r="175" spans="13:20" x14ac:dyDescent="0.25">
      <c r="S175" s="27">
        <v>125.905</v>
      </c>
      <c r="T175" s="27">
        <v>33.009</v>
      </c>
    </row>
    <row r="176" spans="13:20" x14ac:dyDescent="0.25">
      <c r="S176" s="27">
        <v>120.06</v>
      </c>
      <c r="T176" s="27">
        <v>32.573999999999998</v>
      </c>
    </row>
    <row r="177" spans="19:20" x14ac:dyDescent="0.25">
      <c r="S177" s="27">
        <v>113.194</v>
      </c>
      <c r="T177" s="27">
        <v>31.507000000000001</v>
      </c>
    </row>
    <row r="178" spans="19:20" x14ac:dyDescent="0.25">
      <c r="S178" s="27">
        <v>123.935</v>
      </c>
      <c r="T178" s="27">
        <v>33.298999999999999</v>
      </c>
    </row>
    <row r="179" spans="19:20" x14ac:dyDescent="0.25">
      <c r="S179" s="27">
        <v>126.98099999999999</v>
      </c>
      <c r="T179" s="27">
        <v>30.497</v>
      </c>
    </row>
    <row r="180" spans="19:20" x14ac:dyDescent="0.25">
      <c r="S180" s="27">
        <v>126.98099999999999</v>
      </c>
      <c r="T180" s="27">
        <v>32.023000000000003</v>
      </c>
    </row>
    <row r="181" spans="19:20" x14ac:dyDescent="0.25">
      <c r="S181" s="27">
        <v>133.31700000000001</v>
      </c>
      <c r="T181" s="27">
        <v>30.05</v>
      </c>
    </row>
    <row r="182" spans="19:20" x14ac:dyDescent="0.25">
      <c r="S182" s="27">
        <v>121.878</v>
      </c>
      <c r="T182" s="27">
        <v>36.512</v>
      </c>
    </row>
    <row r="183" spans="19:20" x14ac:dyDescent="0.25">
      <c r="S183" s="27">
        <v>125.794</v>
      </c>
      <c r="T183" s="27">
        <v>35.332000000000001</v>
      </c>
    </row>
    <row r="184" spans="19:20" x14ac:dyDescent="0.25">
      <c r="S184" s="27">
        <v>121.021</v>
      </c>
      <c r="T184" s="27">
        <v>33.213000000000001</v>
      </c>
    </row>
    <row r="185" spans="19:20" x14ac:dyDescent="0.25">
      <c r="S185" s="27">
        <v>126.661</v>
      </c>
      <c r="T185" s="27">
        <v>35.603000000000002</v>
      </c>
    </row>
    <row r="186" spans="19:20" x14ac:dyDescent="0.25">
      <c r="S186" s="27">
        <v>126.949</v>
      </c>
      <c r="T186" s="27">
        <v>32.465000000000003</v>
      </c>
    </row>
    <row r="187" spans="19:20" x14ac:dyDescent="0.25">
      <c r="S187" s="27">
        <v>129.511</v>
      </c>
      <c r="T187" s="27">
        <v>35.493000000000002</v>
      </c>
    </row>
    <row r="188" spans="19:20" x14ac:dyDescent="0.25">
      <c r="S188" s="27">
        <v>121.077</v>
      </c>
      <c r="T188" s="27">
        <v>33.723999999999997</v>
      </c>
    </row>
    <row r="189" spans="19:20" x14ac:dyDescent="0.25">
      <c r="S189" s="27">
        <v>121.077</v>
      </c>
      <c r="T189" s="27">
        <v>35.262</v>
      </c>
    </row>
    <row r="190" spans="19:20" x14ac:dyDescent="0.25">
      <c r="S190" s="27">
        <v>126.949</v>
      </c>
      <c r="T190" s="27">
        <v>35.241</v>
      </c>
    </row>
    <row r="191" spans="19:20" x14ac:dyDescent="0.25">
      <c r="S191" s="27">
        <v>128.221</v>
      </c>
      <c r="T191" s="27">
        <v>33.084000000000003</v>
      </c>
    </row>
    <row r="192" spans="19:20" x14ac:dyDescent="0.25">
      <c r="S192" s="27">
        <v>129.511</v>
      </c>
      <c r="T192" s="27">
        <v>33.084000000000003</v>
      </c>
    </row>
    <row r="193" spans="19:20" x14ac:dyDescent="0.25">
      <c r="S193" s="27">
        <v>117.60599999999999</v>
      </c>
      <c r="T193" s="27">
        <v>33.009</v>
      </c>
    </row>
    <row r="194" spans="19:20" x14ac:dyDescent="0.25">
      <c r="S194" s="27">
        <v>120.581</v>
      </c>
      <c r="T194" s="27">
        <v>36.375</v>
      </c>
    </row>
    <row r="195" spans="19:20" x14ac:dyDescent="0.25">
      <c r="S195" s="27">
        <v>121.021</v>
      </c>
      <c r="T195" s="27">
        <v>32.167000000000002</v>
      </c>
    </row>
    <row r="196" spans="19:20" x14ac:dyDescent="0.25">
      <c r="S196" s="27">
        <v>128.66999999999999</v>
      </c>
      <c r="T196" s="27">
        <v>33.009</v>
      </c>
    </row>
    <row r="197" spans="19:20" x14ac:dyDescent="0.25">
      <c r="S197" s="27">
        <v>122.703</v>
      </c>
      <c r="T197" s="27">
        <v>31.268999999999998</v>
      </c>
    </row>
    <row r="198" spans="19:20" x14ac:dyDescent="0.25">
      <c r="S198" s="27">
        <v>105.324</v>
      </c>
      <c r="T198" s="27">
        <v>31.224</v>
      </c>
    </row>
    <row r="199" spans="19:20" x14ac:dyDescent="0.25">
      <c r="S199" s="27">
        <v>130.792</v>
      </c>
      <c r="T199" s="27">
        <v>36.860999999999997</v>
      </c>
    </row>
    <row r="200" spans="19:20" x14ac:dyDescent="0.25">
      <c r="S200" s="27">
        <v>120.584</v>
      </c>
      <c r="T200" s="27">
        <v>34.968000000000004</v>
      </c>
    </row>
    <row r="201" spans="19:20" x14ac:dyDescent="0.25">
      <c r="S201" s="27">
        <v>132.07499999999999</v>
      </c>
      <c r="T201" s="27">
        <v>31.507000000000001</v>
      </c>
    </row>
    <row r="202" spans="19:20" x14ac:dyDescent="0.25">
      <c r="S202" s="27">
        <v>135.047</v>
      </c>
      <c r="T202" s="27">
        <v>33.975999999999999</v>
      </c>
    </row>
    <row r="203" spans="19:20" x14ac:dyDescent="0.25">
      <c r="S203" s="27">
        <v>128.768</v>
      </c>
      <c r="T203" s="27">
        <v>35.423000000000002</v>
      </c>
    </row>
    <row r="204" spans="19:20" x14ac:dyDescent="0.25">
      <c r="S204" s="27">
        <v>110.48399999999999</v>
      </c>
      <c r="T204" s="27">
        <v>36.247999999999998</v>
      </c>
    </row>
    <row r="205" spans="19:20" x14ac:dyDescent="0.25">
      <c r="S205" s="27">
        <v>126.779</v>
      </c>
      <c r="T205" s="27">
        <v>33.298999999999999</v>
      </c>
    </row>
    <row r="206" spans="19:20" x14ac:dyDescent="0.25">
      <c r="S206" s="27">
        <v>136.202</v>
      </c>
      <c r="T206" s="27">
        <v>34.762999999999998</v>
      </c>
    </row>
    <row r="207" spans="19:20" x14ac:dyDescent="0.25">
      <c r="S207" s="27">
        <v>129.249</v>
      </c>
      <c r="T207" s="27">
        <v>29.728000000000002</v>
      </c>
    </row>
    <row r="208" spans="19:20" x14ac:dyDescent="0.25">
      <c r="S208" s="27">
        <v>131.864</v>
      </c>
      <c r="T208" s="27">
        <v>31.507000000000001</v>
      </c>
    </row>
    <row r="209" spans="19:20" x14ac:dyDescent="0.25">
      <c r="S209" s="27">
        <v>129.33699999999999</v>
      </c>
      <c r="T209" s="27">
        <v>30.670999999999999</v>
      </c>
    </row>
    <row r="210" spans="19:20" x14ac:dyDescent="0.25">
      <c r="S210" s="27">
        <v>129.447</v>
      </c>
      <c r="T210" s="27">
        <v>31.631</v>
      </c>
    </row>
    <row r="211" spans="19:20" x14ac:dyDescent="0.25">
      <c r="S211" s="27">
        <v>122.877</v>
      </c>
      <c r="T211" s="27">
        <v>31.268999999999998</v>
      </c>
    </row>
    <row r="212" spans="19:20" x14ac:dyDescent="0.25">
      <c r="S212" s="27">
        <v>125.423</v>
      </c>
      <c r="T212" s="27">
        <v>29.643999999999998</v>
      </c>
    </row>
    <row r="213" spans="19:20" x14ac:dyDescent="0.25">
      <c r="S213" s="27">
        <v>100.648</v>
      </c>
      <c r="T213" s="27">
        <v>27.963000000000001</v>
      </c>
    </row>
    <row r="214" spans="19:20" x14ac:dyDescent="0.25">
      <c r="S214" s="27">
        <v>128.261</v>
      </c>
      <c r="T214" s="27">
        <v>32.835000000000001</v>
      </c>
    </row>
    <row r="215" spans="19:20" x14ac:dyDescent="0.25">
      <c r="S215" s="27">
        <v>109.021</v>
      </c>
      <c r="T215" s="27">
        <v>33.606999999999999</v>
      </c>
    </row>
    <row r="216" spans="19:20" x14ac:dyDescent="0.25">
      <c r="S216" s="27">
        <v>120.163</v>
      </c>
      <c r="T216" s="27">
        <v>33.408999999999999</v>
      </c>
    </row>
    <row r="217" spans="19:20" x14ac:dyDescent="0.25">
      <c r="S217" s="27">
        <v>129.90799999999999</v>
      </c>
      <c r="T217" s="27">
        <v>32.4</v>
      </c>
    </row>
    <row r="218" spans="19:20" x14ac:dyDescent="0.25">
      <c r="S218" s="27">
        <v>134.767</v>
      </c>
      <c r="T218" s="27">
        <v>32.993000000000002</v>
      </c>
    </row>
    <row r="219" spans="19:20" x14ac:dyDescent="0.25">
      <c r="S219" s="27">
        <v>128.536</v>
      </c>
      <c r="T219" s="27">
        <v>33.331000000000003</v>
      </c>
    </row>
    <row r="220" spans="19:20" x14ac:dyDescent="0.25">
      <c r="S220" s="27">
        <v>123.82299999999999</v>
      </c>
      <c r="T220" s="27">
        <v>33.118000000000002</v>
      </c>
    </row>
    <row r="221" spans="19:20" x14ac:dyDescent="0.25">
      <c r="S221" s="27">
        <v>130.23099999999999</v>
      </c>
      <c r="T221" s="27">
        <v>34.162999999999997</v>
      </c>
    </row>
    <row r="222" spans="19:20" x14ac:dyDescent="0.25">
      <c r="S222" s="27">
        <v>126.348</v>
      </c>
      <c r="T222" s="27">
        <v>33.947000000000003</v>
      </c>
    </row>
    <row r="223" spans="19:20" x14ac:dyDescent="0.25">
      <c r="S223" s="27">
        <v>95.403000000000006</v>
      </c>
      <c r="T223" s="27">
        <v>34.341999999999999</v>
      </c>
    </row>
    <row r="224" spans="19:20" x14ac:dyDescent="0.25">
      <c r="S224" s="27">
        <v>128.19200000000001</v>
      </c>
      <c r="T224" s="27">
        <v>34.325000000000003</v>
      </c>
    </row>
    <row r="225" spans="19:20" x14ac:dyDescent="0.25">
      <c r="S225" s="27">
        <v>130.32400000000001</v>
      </c>
      <c r="T225" s="27">
        <v>33.459000000000003</v>
      </c>
    </row>
    <row r="226" spans="19:20" x14ac:dyDescent="0.25">
      <c r="S226" s="27">
        <v>129.136</v>
      </c>
      <c r="T226" s="27">
        <v>32.890999999999998</v>
      </c>
    </row>
    <row r="227" spans="19:20" x14ac:dyDescent="0.25">
      <c r="S227" s="27">
        <v>125.315</v>
      </c>
      <c r="T227" s="27">
        <v>32.292999999999999</v>
      </c>
    </row>
    <row r="228" spans="19:20" x14ac:dyDescent="0.25">
      <c r="S228" s="27">
        <v>127.964</v>
      </c>
      <c r="T228" s="27">
        <v>34.052</v>
      </c>
    </row>
    <row r="229" spans="19:20" x14ac:dyDescent="0.25">
      <c r="S229" s="27">
        <v>129.21</v>
      </c>
      <c r="T229" s="27">
        <v>33.671999999999997</v>
      </c>
    </row>
    <row r="230" spans="19:20" x14ac:dyDescent="0.25">
      <c r="S230" s="27">
        <v>132.5</v>
      </c>
      <c r="T230" s="27">
        <v>33.783000000000001</v>
      </c>
    </row>
    <row r="231" spans="19:20" x14ac:dyDescent="0.25">
      <c r="S231" s="27">
        <v>130.57300000000001</v>
      </c>
      <c r="T231" s="27">
        <v>30.992000000000001</v>
      </c>
    </row>
    <row r="232" spans="19:20" x14ac:dyDescent="0.25">
      <c r="S232" s="27">
        <v>130.57300000000001</v>
      </c>
      <c r="T232" s="27">
        <v>32.273000000000003</v>
      </c>
    </row>
    <row r="233" spans="19:20" x14ac:dyDescent="0.25">
      <c r="S233" s="27">
        <v>132.03399999999999</v>
      </c>
      <c r="T233" s="27">
        <v>31.582000000000001</v>
      </c>
    </row>
    <row r="234" spans="19:20" x14ac:dyDescent="0.25">
      <c r="S234" s="27">
        <v>107.504</v>
      </c>
      <c r="T234" s="27">
        <v>31.132000000000001</v>
      </c>
    </row>
    <row r="235" spans="19:20" x14ac:dyDescent="0.25">
      <c r="S235" s="27">
        <v>129.65299999999999</v>
      </c>
      <c r="T235" s="27">
        <v>33.703000000000003</v>
      </c>
    </row>
    <row r="236" spans="19:20" x14ac:dyDescent="0.25">
      <c r="S236" s="27">
        <v>133.01499999999999</v>
      </c>
      <c r="T236" s="27">
        <v>32.164000000000001</v>
      </c>
    </row>
    <row r="237" spans="19:20" x14ac:dyDescent="0.25">
      <c r="S237" s="27">
        <v>127.526</v>
      </c>
      <c r="T237" s="27">
        <v>33.363</v>
      </c>
    </row>
    <row r="238" spans="19:20" x14ac:dyDescent="0.25">
      <c r="S238" s="27">
        <v>129.161</v>
      </c>
      <c r="T238" s="27">
        <v>32.024000000000001</v>
      </c>
    </row>
    <row r="239" spans="19:20" x14ac:dyDescent="0.25">
      <c r="S239" s="27">
        <v>130.58099999999999</v>
      </c>
      <c r="T239" s="27">
        <v>32.100999999999999</v>
      </c>
    </row>
    <row r="240" spans="19:20" x14ac:dyDescent="0.25">
      <c r="S240" s="27">
        <v>117.902</v>
      </c>
      <c r="T240" s="27">
        <v>33.950000000000003</v>
      </c>
    </row>
    <row r="241" spans="19:20" x14ac:dyDescent="0.25">
      <c r="S241" s="27">
        <v>134.05699999999999</v>
      </c>
      <c r="T241" s="27">
        <v>32.223999999999997</v>
      </c>
    </row>
    <row r="242" spans="19:20" x14ac:dyDescent="0.25">
      <c r="S242" s="27">
        <v>121.53</v>
      </c>
      <c r="T242" s="27">
        <v>32.356000000000002</v>
      </c>
    </row>
    <row r="243" spans="19:20" x14ac:dyDescent="0.25">
      <c r="S243" s="27">
        <v>123.059</v>
      </c>
      <c r="T243" s="27">
        <v>33.466000000000001</v>
      </c>
    </row>
    <row r="244" spans="19:20" x14ac:dyDescent="0.25">
      <c r="S244" s="27">
        <v>132.77099999999999</v>
      </c>
      <c r="T244" s="27">
        <v>33.613</v>
      </c>
    </row>
    <row r="245" spans="19:20" x14ac:dyDescent="0.25">
      <c r="S245" s="27">
        <v>130.05600000000001</v>
      </c>
      <c r="T245" s="27">
        <v>33.478000000000002</v>
      </c>
    </row>
    <row r="246" spans="19:20" x14ac:dyDescent="0.25">
      <c r="S246" s="27">
        <v>123.44</v>
      </c>
      <c r="T246" s="27">
        <v>32.884999999999998</v>
      </c>
    </row>
    <row r="247" spans="19:20" x14ac:dyDescent="0.25">
      <c r="S247" s="27">
        <v>121.756</v>
      </c>
      <c r="T247" s="27">
        <v>34.17</v>
      </c>
    </row>
    <row r="248" spans="19:20" x14ac:dyDescent="0.25">
      <c r="S248" s="27">
        <v>134.833</v>
      </c>
      <c r="T248" s="27">
        <v>34.271000000000001</v>
      </c>
    </row>
    <row r="249" spans="19:20" x14ac:dyDescent="0.25">
      <c r="S249" s="27">
        <v>130.001</v>
      </c>
      <c r="T249" s="27">
        <v>34.529000000000003</v>
      </c>
    </row>
    <row r="250" spans="19:20" x14ac:dyDescent="0.25">
      <c r="S250" s="27">
        <v>129.36500000000001</v>
      </c>
      <c r="T250" s="27">
        <v>32.043999999999997</v>
      </c>
    </row>
    <row r="251" spans="19:20" x14ac:dyDescent="0.25">
      <c r="S251" s="27">
        <v>122.584</v>
      </c>
      <c r="T251" s="27">
        <v>35.037999999999997</v>
      </c>
    </row>
    <row r="252" spans="19:20" x14ac:dyDescent="0.25">
      <c r="S252" s="27">
        <v>132.84399999999999</v>
      </c>
      <c r="T252" s="27">
        <v>33.06</v>
      </c>
    </row>
    <row r="253" spans="19:20" x14ac:dyDescent="0.25">
      <c r="S253" s="27">
        <v>129.714</v>
      </c>
      <c r="T253" s="27">
        <v>36.366999999999997</v>
      </c>
    </row>
    <row r="254" spans="19:20" x14ac:dyDescent="0.25">
      <c r="S254" s="27">
        <v>135.00200000000001</v>
      </c>
      <c r="T254" s="27">
        <v>34.231999999999999</v>
      </c>
    </row>
    <row r="255" spans="19:20" x14ac:dyDescent="0.25">
      <c r="S255" s="27">
        <v>131.892</v>
      </c>
      <c r="T255" s="27">
        <v>34.652000000000001</v>
      </c>
    </row>
    <row r="256" spans="19:20" x14ac:dyDescent="0.25">
      <c r="S256" s="27">
        <v>130.649</v>
      </c>
      <c r="T256" s="27">
        <v>30.84</v>
      </c>
    </row>
    <row r="257" spans="19:20" x14ac:dyDescent="0.25">
      <c r="S257" s="27">
        <v>128.49799999999999</v>
      </c>
      <c r="T257" s="27">
        <v>33.707999999999998</v>
      </c>
    </row>
    <row r="258" spans="19:20" x14ac:dyDescent="0.25">
      <c r="S258" s="27">
        <v>123.663</v>
      </c>
      <c r="T258" s="27">
        <v>32.204000000000001</v>
      </c>
    </row>
    <row r="259" spans="19:20" x14ac:dyDescent="0.25">
      <c r="S259" s="27">
        <v>130.18</v>
      </c>
      <c r="T259" s="27">
        <v>33.143000000000001</v>
      </c>
    </row>
    <row r="260" spans="19:20" x14ac:dyDescent="0.25">
      <c r="S260" s="27">
        <v>124.13200000000001</v>
      </c>
      <c r="T260" s="27">
        <v>33.780999999999999</v>
      </c>
    </row>
    <row r="261" spans="19:20" x14ac:dyDescent="0.25">
      <c r="S261" s="27">
        <v>119.461</v>
      </c>
      <c r="T261" s="27">
        <v>34.764000000000003</v>
      </c>
    </row>
    <row r="262" spans="19:20" x14ac:dyDescent="0.25">
      <c r="S262" s="27">
        <v>133.80099999999999</v>
      </c>
      <c r="T262" s="27">
        <v>34.526000000000003</v>
      </c>
    </row>
    <row r="263" spans="19:20" x14ac:dyDescent="0.25">
      <c r="S263" s="27">
        <v>130.874</v>
      </c>
      <c r="T263" s="27">
        <v>35.76</v>
      </c>
    </row>
    <row r="264" spans="19:20" x14ac:dyDescent="0.25">
      <c r="S264" s="27">
        <v>129.25700000000001</v>
      </c>
      <c r="T264" s="27">
        <v>34.18</v>
      </c>
    </row>
    <row r="265" spans="19:20" x14ac:dyDescent="0.25">
      <c r="S265" s="27">
        <v>124.462</v>
      </c>
      <c r="T265" s="27">
        <v>32.387</v>
      </c>
    </row>
    <row r="266" spans="19:20" x14ac:dyDescent="0.25">
      <c r="S266" s="27">
        <v>130.56100000000001</v>
      </c>
      <c r="T266" s="27">
        <v>35.340000000000003</v>
      </c>
    </row>
    <row r="267" spans="19:20" x14ac:dyDescent="0.25">
      <c r="S267" s="27">
        <v>130.905</v>
      </c>
      <c r="T267" s="27">
        <v>31.54</v>
      </c>
    </row>
    <row r="268" spans="19:20" x14ac:dyDescent="0.25">
      <c r="S268" s="27">
        <v>124.214</v>
      </c>
      <c r="T268" s="27">
        <v>34.073999999999998</v>
      </c>
    </row>
    <row r="269" spans="19:20" x14ac:dyDescent="0.25">
      <c r="S269" s="27">
        <v>122.56100000000001</v>
      </c>
      <c r="T269" s="27">
        <v>35.36</v>
      </c>
    </row>
    <row r="270" spans="19:20" x14ac:dyDescent="0.25">
      <c r="S270" s="27">
        <v>128.333</v>
      </c>
      <c r="T270" s="27">
        <v>32.921999999999997</v>
      </c>
    </row>
    <row r="271" spans="19:20" x14ac:dyDescent="0.25">
      <c r="S271" s="27">
        <v>122.129</v>
      </c>
      <c r="T271" s="27">
        <v>32.848999999999997</v>
      </c>
    </row>
    <row r="272" spans="19:20" x14ac:dyDescent="0.25">
      <c r="S272" s="27">
        <v>125.34699999999999</v>
      </c>
      <c r="T272" s="27">
        <v>35.706000000000003</v>
      </c>
    </row>
    <row r="273" spans="19:20" x14ac:dyDescent="0.25">
      <c r="S273" s="27">
        <v>126.65900000000001</v>
      </c>
      <c r="T273" s="27">
        <v>33.549999999999997</v>
      </c>
    </row>
    <row r="274" spans="19:20" x14ac:dyDescent="0.25">
      <c r="S274" s="27">
        <v>127.245</v>
      </c>
      <c r="T274" s="27">
        <v>36.383000000000003</v>
      </c>
    </row>
    <row r="275" spans="19:20" x14ac:dyDescent="0.25">
      <c r="S275" s="27">
        <v>125.562</v>
      </c>
      <c r="T275" s="27">
        <v>35.540999999999997</v>
      </c>
    </row>
    <row r="276" spans="19:20" x14ac:dyDescent="0.25">
      <c r="S276" s="27">
        <v>126.93899999999999</v>
      </c>
      <c r="T276" s="27">
        <v>33.968000000000004</v>
      </c>
    </row>
    <row r="277" spans="19:20" x14ac:dyDescent="0.25">
      <c r="S277" s="27">
        <v>127.011</v>
      </c>
      <c r="T277" s="27">
        <v>34.110999999999997</v>
      </c>
    </row>
    <row r="278" spans="19:20" x14ac:dyDescent="0.25">
      <c r="S278" s="27">
        <v>125.446</v>
      </c>
      <c r="T278" s="27">
        <v>34.009</v>
      </c>
    </row>
    <row r="279" spans="19:20" x14ac:dyDescent="0.25">
      <c r="S279" s="27">
        <v>126.35599999999999</v>
      </c>
      <c r="T279" s="27">
        <v>33.323</v>
      </c>
    </row>
    <row r="280" spans="19:20" x14ac:dyDescent="0.25">
      <c r="S280" s="27">
        <v>128.09700000000001</v>
      </c>
      <c r="T280" s="27">
        <v>32.149000000000001</v>
      </c>
    </row>
    <row r="281" spans="19:20" x14ac:dyDescent="0.25">
      <c r="S281" s="27">
        <v>112.979</v>
      </c>
      <c r="T281" s="27">
        <v>33.659999999999997</v>
      </c>
    </row>
    <row r="282" spans="19:20" x14ac:dyDescent="0.25">
      <c r="S282" s="27">
        <v>132.56800000000001</v>
      </c>
      <c r="T282" s="27">
        <v>33.744999999999997</v>
      </c>
    </row>
    <row r="283" spans="19:20" x14ac:dyDescent="0.25">
      <c r="S283" s="27">
        <v>127.298</v>
      </c>
      <c r="T283" s="27">
        <v>35.445999999999998</v>
      </c>
    </row>
    <row r="284" spans="19:20" x14ac:dyDescent="0.25">
      <c r="S284" s="27">
        <v>124.694</v>
      </c>
      <c r="T284" s="27">
        <v>34.18</v>
      </c>
    </row>
    <row r="285" spans="19:20" x14ac:dyDescent="0.25">
      <c r="S285" s="27">
        <v>129.66399999999999</v>
      </c>
      <c r="T285" s="27">
        <v>33.488999999999997</v>
      </c>
    </row>
    <row r="286" spans="19:20" x14ac:dyDescent="0.25">
      <c r="S286" s="27">
        <v>127.03700000000001</v>
      </c>
      <c r="T286" s="27">
        <v>33.433999999999997</v>
      </c>
    </row>
    <row r="287" spans="19:20" x14ac:dyDescent="0.25">
      <c r="S287" s="27">
        <v>120.134</v>
      </c>
      <c r="T287" s="27">
        <v>34.536000000000001</v>
      </c>
    </row>
    <row r="288" spans="19:20" x14ac:dyDescent="0.25">
      <c r="S288" s="27">
        <v>129.72900000000001</v>
      </c>
      <c r="T288" s="27">
        <v>34.354999999999997</v>
      </c>
    </row>
    <row r="289" spans="19:20" x14ac:dyDescent="0.25">
      <c r="S289" s="27">
        <v>129.166</v>
      </c>
      <c r="T289" s="27">
        <v>32.125</v>
      </c>
    </row>
    <row r="290" spans="19:20" x14ac:dyDescent="0.25">
      <c r="S290" s="27">
        <v>132.04900000000001</v>
      </c>
      <c r="T290" s="27">
        <v>35.319000000000003</v>
      </c>
    </row>
    <row r="291" spans="19:20" x14ac:dyDescent="0.25">
      <c r="S291" s="27">
        <v>125.666</v>
      </c>
      <c r="T291" s="27">
        <v>34.039000000000001</v>
      </c>
    </row>
    <row r="292" spans="19:20" x14ac:dyDescent="0.25">
      <c r="S292" s="27">
        <v>127.839</v>
      </c>
      <c r="T292" s="27">
        <v>33.066000000000003</v>
      </c>
    </row>
    <row r="293" spans="19:20" x14ac:dyDescent="0.25">
      <c r="S293" s="27">
        <v>131.363</v>
      </c>
      <c r="T293" s="27">
        <v>34.284999999999997</v>
      </c>
    </row>
    <row r="294" spans="19:20" x14ac:dyDescent="0.25">
      <c r="S294" s="27">
        <v>130.458</v>
      </c>
      <c r="T294" s="27">
        <v>31.777000000000001</v>
      </c>
    </row>
    <row r="295" spans="19:20" x14ac:dyDescent="0.25">
      <c r="S295" s="27">
        <v>125.30200000000001</v>
      </c>
      <c r="T295" s="27">
        <v>34.03</v>
      </c>
    </row>
    <row r="296" spans="19:20" x14ac:dyDescent="0.25">
      <c r="S296" s="27">
        <v>131.32400000000001</v>
      </c>
      <c r="T296" s="27">
        <v>32.558</v>
      </c>
    </row>
    <row r="297" spans="19:20" x14ac:dyDescent="0.25">
      <c r="S297" s="27">
        <v>126.988</v>
      </c>
      <c r="T297" s="27">
        <v>33.616</v>
      </c>
    </row>
    <row r="298" spans="19:20" x14ac:dyDescent="0.25">
      <c r="S298" s="27">
        <v>129.47300000000001</v>
      </c>
      <c r="T298" s="27">
        <v>37.965000000000003</v>
      </c>
    </row>
    <row r="299" spans="19:20" x14ac:dyDescent="0.25">
      <c r="S299" s="27">
        <v>126.23399999999999</v>
      </c>
      <c r="T299" s="27">
        <v>33.634999999999998</v>
      </c>
    </row>
    <row r="300" spans="19:20" x14ac:dyDescent="0.25">
      <c r="S300" s="27">
        <v>128.56</v>
      </c>
      <c r="T300" s="27">
        <v>33.112000000000002</v>
      </c>
    </row>
    <row r="301" spans="19:20" x14ac:dyDescent="0.25">
      <c r="S301" s="25"/>
      <c r="T301" s="27">
        <v>31.664000000000001</v>
      </c>
    </row>
    <row r="302" spans="19:20" x14ac:dyDescent="0.25">
      <c r="S302" s="25"/>
      <c r="T302" s="27">
        <v>33.895000000000003</v>
      </c>
    </row>
    <row r="303" spans="19:20" x14ac:dyDescent="0.25">
      <c r="S303" s="25"/>
      <c r="T303" s="27">
        <v>32.201000000000001</v>
      </c>
    </row>
    <row r="304" spans="19:20" x14ac:dyDescent="0.25">
      <c r="S304" s="25"/>
      <c r="T304" s="27">
        <v>32.515000000000001</v>
      </c>
    </row>
    <row r="305" spans="16:20" x14ac:dyDescent="0.25">
      <c r="S305" s="25"/>
      <c r="T305" s="27">
        <v>33.262999999999998</v>
      </c>
    </row>
    <row r="306" spans="16:20" x14ac:dyDescent="0.25">
      <c r="S306" s="25"/>
      <c r="T306" s="27">
        <v>32.610999999999997</v>
      </c>
    </row>
    <row r="307" spans="16:20" x14ac:dyDescent="0.25">
      <c r="S307" s="25"/>
      <c r="T307" s="27">
        <v>33.281999999999996</v>
      </c>
    </row>
    <row r="308" spans="16:20" x14ac:dyDescent="0.25">
      <c r="S308" s="25"/>
      <c r="T308" s="27">
        <v>33.734999999999999</v>
      </c>
    </row>
    <row r="309" spans="16:20" x14ac:dyDescent="0.25">
      <c r="S309" s="25"/>
      <c r="T309" s="27">
        <v>34.048000000000002</v>
      </c>
    </row>
    <row r="310" spans="16:20" ht="15.75" thickBot="1" x14ac:dyDescent="0.3">
      <c r="S310" s="30"/>
      <c r="T310" s="27">
        <v>32.606999999999999</v>
      </c>
    </row>
    <row r="311" spans="16:20" x14ac:dyDescent="0.25">
      <c r="P311" s="31" t="s">
        <v>14</v>
      </c>
      <c r="Q311" s="32"/>
      <c r="R311" s="32"/>
      <c r="S311" s="33">
        <f>MIN(S3:S300)</f>
        <v>91.266000000000005</v>
      </c>
    </row>
    <row r="312" spans="16:20" ht="15.75" thickBot="1" x14ac:dyDescent="0.3">
      <c r="P312" s="34" t="s">
        <v>15</v>
      </c>
      <c r="Q312" s="35"/>
      <c r="R312" s="35"/>
      <c r="S312" s="36">
        <f>MAX(S3:S300)</f>
        <v>202.785</v>
      </c>
    </row>
    <row r="313" spans="16:20" ht="15.75" thickBot="1" x14ac:dyDescent="0.3"/>
    <row r="314" spans="16:20" ht="16.5" thickTop="1" thickBot="1" x14ac:dyDescent="0.3">
      <c r="P314" s="24" t="s">
        <v>18</v>
      </c>
      <c r="Q314" s="24"/>
      <c r="R314" s="24"/>
      <c r="S314" s="24"/>
    </row>
    <row r="315" spans="16:20" ht="15.75" thickTop="1" x14ac:dyDescent="0.25">
      <c r="P315" s="37" t="s">
        <v>16</v>
      </c>
      <c r="Q315" s="38" t="s">
        <v>17</v>
      </c>
      <c r="R315" s="38"/>
      <c r="S315" s="39" t="s">
        <v>19</v>
      </c>
    </row>
    <row r="316" spans="16:20" x14ac:dyDescent="0.25">
      <c r="P316" s="40">
        <v>90</v>
      </c>
      <c r="Q316" s="41">
        <v>100</v>
      </c>
      <c r="R316" s="41"/>
      <c r="S316" s="42">
        <f>COUNTIFS(S3:S300,"&gt;90",S3:S300,"&lt;100")</f>
        <v>6</v>
      </c>
    </row>
    <row r="317" spans="16:20" x14ac:dyDescent="0.25">
      <c r="P317" s="40">
        <f>P316+10</f>
        <v>100</v>
      </c>
      <c r="Q317" s="41">
        <f>Q316+10</f>
        <v>110</v>
      </c>
      <c r="R317" s="41"/>
      <c r="S317" s="42">
        <f>COUNTIFS(S3:S300,"&gt;100",S3:S300,"&lt;110")</f>
        <v>8</v>
      </c>
    </row>
    <row r="318" spans="16:20" x14ac:dyDescent="0.25">
      <c r="P318" s="40">
        <f t="shared" ref="P318:P327" si="0">P317+10</f>
        <v>110</v>
      </c>
      <c r="Q318" s="41">
        <f t="shared" ref="Q318:Q327" si="1">Q317+10</f>
        <v>120</v>
      </c>
      <c r="R318" s="41"/>
      <c r="S318" s="42">
        <f>COUNTIFS(S3:S300,"&gt;110",S3:S300,"&lt;120")</f>
        <v>16</v>
      </c>
    </row>
    <row r="319" spans="16:20" x14ac:dyDescent="0.25">
      <c r="P319" s="40">
        <f t="shared" si="0"/>
        <v>120</v>
      </c>
      <c r="Q319" s="41">
        <f t="shared" si="1"/>
        <v>130</v>
      </c>
      <c r="R319" s="41"/>
      <c r="S319" s="42">
        <f>COUNTIFS(S3:S300,"&gt;120",S3:S300,"&lt;130")</f>
        <v>210</v>
      </c>
    </row>
    <row r="320" spans="16:20" x14ac:dyDescent="0.25">
      <c r="P320" s="40">
        <f t="shared" si="0"/>
        <v>130</v>
      </c>
      <c r="Q320" s="41">
        <f t="shared" si="1"/>
        <v>140</v>
      </c>
      <c r="R320" s="41"/>
      <c r="S320" s="42">
        <f>COUNTIFS(S3:S300,"&gt;130",S3:S300,"&lt;140")</f>
        <v>57</v>
      </c>
    </row>
    <row r="321" spans="16:19" x14ac:dyDescent="0.25">
      <c r="P321" s="40">
        <f t="shared" si="0"/>
        <v>140</v>
      </c>
      <c r="Q321" s="41">
        <f t="shared" si="1"/>
        <v>150</v>
      </c>
      <c r="R321" s="41"/>
      <c r="S321" s="42">
        <f>COUNTIFS(S3:S300,"&gt;140",S3:S300,"&lt;150")</f>
        <v>0</v>
      </c>
    </row>
    <row r="322" spans="16:19" x14ac:dyDescent="0.25">
      <c r="P322" s="40">
        <f t="shared" si="0"/>
        <v>150</v>
      </c>
      <c r="Q322" s="41">
        <f t="shared" si="1"/>
        <v>160</v>
      </c>
      <c r="R322" s="41"/>
      <c r="S322" s="42">
        <f>COUNTIFS($S$3:$S$300,"&gt;150",$S$3:$S$300,"&lt;160")</f>
        <v>0</v>
      </c>
    </row>
    <row r="323" spans="16:19" x14ac:dyDescent="0.25">
      <c r="P323" s="40">
        <f t="shared" si="0"/>
        <v>160</v>
      </c>
      <c r="Q323" s="41">
        <f t="shared" si="1"/>
        <v>170</v>
      </c>
      <c r="R323" s="41"/>
      <c r="S323" s="42">
        <f>COUNTIFS($S$3:$S$300,"&gt;160",$S$3:$S$300,"&lt;170")</f>
        <v>0</v>
      </c>
    </row>
    <row r="324" spans="16:19" x14ac:dyDescent="0.25">
      <c r="P324" s="40">
        <f t="shared" si="0"/>
        <v>170</v>
      </c>
      <c r="Q324" s="41">
        <f t="shared" si="1"/>
        <v>180</v>
      </c>
      <c r="R324" s="41"/>
      <c r="S324" s="42">
        <f>COUNTIFS($S$3:$S$300,"&gt;170",$S$3:$S$300,"&lt;180")</f>
        <v>0</v>
      </c>
    </row>
    <row r="325" spans="16:19" x14ac:dyDescent="0.25">
      <c r="P325" s="40">
        <f t="shared" si="0"/>
        <v>180</v>
      </c>
      <c r="Q325" s="41">
        <f t="shared" si="1"/>
        <v>190</v>
      </c>
      <c r="R325" s="41"/>
      <c r="S325" s="42">
        <f>COUNTIFS($S$3:$S$300,"&gt;180",$S$3:$S$300,"&lt;190")</f>
        <v>0</v>
      </c>
    </row>
    <row r="326" spans="16:19" x14ac:dyDescent="0.25">
      <c r="P326" s="40">
        <f t="shared" si="0"/>
        <v>190</v>
      </c>
      <c r="Q326" s="41">
        <f t="shared" si="1"/>
        <v>200</v>
      </c>
      <c r="R326" s="41"/>
      <c r="S326" s="42">
        <f>COUNTIFS($S$3:$S$300,"&gt;190",$S$3:$S$300,"&lt;200")</f>
        <v>0</v>
      </c>
    </row>
    <row r="327" spans="16:19" x14ac:dyDescent="0.25">
      <c r="P327" s="40">
        <f t="shared" si="0"/>
        <v>200</v>
      </c>
      <c r="Q327" s="41">
        <f t="shared" si="1"/>
        <v>210</v>
      </c>
      <c r="R327" s="41"/>
      <c r="S327" s="42">
        <f>COUNTIFS($S$3:$S$300,"&gt;200",$S$3:$S$300,"&lt;210")</f>
        <v>1</v>
      </c>
    </row>
    <row r="328" spans="16:19" x14ac:dyDescent="0.25">
      <c r="P328" s="43" t="s">
        <v>13</v>
      </c>
      <c r="Q328" s="44"/>
      <c r="R328" s="44"/>
      <c r="S328" s="42">
        <f>SUM(S316:S327)</f>
        <v>298</v>
      </c>
    </row>
    <row r="329" spans="16:19" x14ac:dyDescent="0.25">
      <c r="P329" s="45" t="s">
        <v>16</v>
      </c>
      <c r="Q329" s="46" t="s">
        <v>17</v>
      </c>
      <c r="R329" s="46"/>
      <c r="S329" s="47" t="s">
        <v>19</v>
      </c>
    </row>
    <row r="330" spans="16:19" x14ac:dyDescent="0.25">
      <c r="P330" s="40">
        <v>120</v>
      </c>
      <c r="Q330" s="41">
        <v>121</v>
      </c>
      <c r="R330" s="41"/>
      <c r="S330" s="42">
        <f>COUNTIFS($S$3:$S$300,"&gt;120",$S$3:$S$300,"&lt;121")</f>
        <v>11</v>
      </c>
    </row>
    <row r="331" spans="16:19" x14ac:dyDescent="0.25">
      <c r="P331" s="40">
        <f>P330+1</f>
        <v>121</v>
      </c>
      <c r="Q331" s="41">
        <f>P331+1</f>
        <v>122</v>
      </c>
      <c r="R331" s="41"/>
      <c r="S331" s="42">
        <f>COUNTIFS($S$3:$S$300,"&gt;121",$S$3:$S$300,"&lt;122")</f>
        <v>13</v>
      </c>
    </row>
    <row r="332" spans="16:19" x14ac:dyDescent="0.25">
      <c r="P332" s="40">
        <f t="shared" ref="P332:P338" si="2">P331+1</f>
        <v>122</v>
      </c>
      <c r="Q332" s="41">
        <f t="shared" ref="Q332:Q339" si="3">P332+1</f>
        <v>123</v>
      </c>
      <c r="R332" s="41"/>
      <c r="S332" s="42">
        <f>COUNTIFS($S$3:$S$300,"&gt;122",$S$3:$S$300,"&lt;123")</f>
        <v>19</v>
      </c>
    </row>
    <row r="333" spans="16:19" x14ac:dyDescent="0.25">
      <c r="P333" s="40">
        <f t="shared" si="2"/>
        <v>123</v>
      </c>
      <c r="Q333" s="41">
        <f t="shared" si="3"/>
        <v>124</v>
      </c>
      <c r="R333" s="41"/>
      <c r="S333" s="42">
        <f>COUNTIFS($S$3:$S$300,"&gt;123",$S$3:$S$300,"&lt;124")</f>
        <v>20</v>
      </c>
    </row>
    <row r="334" spans="16:19" x14ac:dyDescent="0.25">
      <c r="P334" s="40">
        <f t="shared" si="2"/>
        <v>124</v>
      </c>
      <c r="Q334" s="41">
        <f t="shared" si="3"/>
        <v>125</v>
      </c>
      <c r="R334" s="41"/>
      <c r="S334" s="42">
        <f>COUNTIFS($S$3:$S$300,"&gt;124",$S$3:$S$300,"&lt;125")</f>
        <v>22</v>
      </c>
    </row>
    <row r="335" spans="16:19" x14ac:dyDescent="0.25">
      <c r="P335" s="40">
        <f t="shared" si="2"/>
        <v>125</v>
      </c>
      <c r="Q335" s="41">
        <f t="shared" si="3"/>
        <v>126</v>
      </c>
      <c r="R335" s="41"/>
      <c r="S335" s="42">
        <f>COUNTIFS($S$3:$S$300,"&gt;125",$S$3:$S$300,"&lt;126")</f>
        <v>18</v>
      </c>
    </row>
    <row r="336" spans="16:19" x14ac:dyDescent="0.25">
      <c r="P336" s="40">
        <f t="shared" si="2"/>
        <v>126</v>
      </c>
      <c r="Q336" s="41">
        <f t="shared" si="3"/>
        <v>127</v>
      </c>
      <c r="R336" s="41"/>
      <c r="S336" s="42">
        <f>COUNTIFS($S$3:$S$300,"&gt;126",$S$3:$S$300,"&lt;127")</f>
        <v>27</v>
      </c>
    </row>
    <row r="337" spans="16:19" x14ac:dyDescent="0.25">
      <c r="P337" s="40">
        <f t="shared" si="2"/>
        <v>127</v>
      </c>
      <c r="Q337" s="41">
        <f t="shared" si="3"/>
        <v>128</v>
      </c>
      <c r="R337" s="41"/>
      <c r="S337" s="42">
        <f>COUNTIFS($S$3:$S$300,"&gt;127",$S$3:$S$300,"&lt;128")</f>
        <v>25</v>
      </c>
    </row>
    <row r="338" spans="16:19" x14ac:dyDescent="0.25">
      <c r="P338" s="40">
        <f t="shared" si="2"/>
        <v>128</v>
      </c>
      <c r="Q338" s="41">
        <f t="shared" si="3"/>
        <v>129</v>
      </c>
      <c r="R338" s="41"/>
      <c r="S338" s="42">
        <f>COUNTIFS($S$3:$S$300,"&gt;128",$S$3:$S$300,"&lt;129")</f>
        <v>26</v>
      </c>
    </row>
    <row r="339" spans="16:19" x14ac:dyDescent="0.25">
      <c r="P339" s="40">
        <f>P338+1</f>
        <v>129</v>
      </c>
      <c r="Q339" s="41">
        <f t="shared" si="3"/>
        <v>130</v>
      </c>
      <c r="R339" s="41"/>
      <c r="S339" s="42">
        <f>COUNTIFS($S$3:$S$300,"&gt;129",$S$3:$S$300,"&lt;130")</f>
        <v>29</v>
      </c>
    </row>
    <row r="340" spans="16:19" ht="15.75" thickBot="1" x14ac:dyDescent="0.3">
      <c r="P340" s="48" t="s">
        <v>13</v>
      </c>
      <c r="Q340" s="49"/>
      <c r="R340" s="49"/>
      <c r="S340" s="50">
        <f>SUM(S330:S339)</f>
        <v>210</v>
      </c>
    </row>
  </sheetData>
  <mergeCells count="36">
    <mergeCell ref="S1:T1"/>
    <mergeCell ref="P1:Q1"/>
    <mergeCell ref="M1:N1"/>
    <mergeCell ref="J1:K1"/>
    <mergeCell ref="G1:H1"/>
    <mergeCell ref="Q315:R315"/>
    <mergeCell ref="P311:R311"/>
    <mergeCell ref="P312:R312"/>
    <mergeCell ref="Q316:R316"/>
    <mergeCell ref="A1:B1"/>
    <mergeCell ref="D1:E1"/>
    <mergeCell ref="Q323:R323"/>
    <mergeCell ref="Q324:R324"/>
    <mergeCell ref="Q325:R325"/>
    <mergeCell ref="Q326:R326"/>
    <mergeCell ref="Q317:R317"/>
    <mergeCell ref="Q318:R318"/>
    <mergeCell ref="Q319:R319"/>
    <mergeCell ref="Q320:R320"/>
    <mergeCell ref="Q321:R321"/>
    <mergeCell ref="P340:R340"/>
    <mergeCell ref="P314:S314"/>
    <mergeCell ref="Q335:R335"/>
    <mergeCell ref="Q336:R336"/>
    <mergeCell ref="Q337:R337"/>
    <mergeCell ref="Q338:R338"/>
    <mergeCell ref="Q339:R339"/>
    <mergeCell ref="Q330:R330"/>
    <mergeCell ref="Q331:R331"/>
    <mergeCell ref="Q332:R332"/>
    <mergeCell ref="Q333:R333"/>
    <mergeCell ref="Q334:R334"/>
    <mergeCell ref="Q327:R327"/>
    <mergeCell ref="P328:R328"/>
    <mergeCell ref="Q329:R329"/>
    <mergeCell ref="Q322:R32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7245-C44D-4B2B-AAA4-3C573A7AFA76}">
  <dimension ref="A1:R274"/>
  <sheetViews>
    <sheetView tabSelected="1" zoomScaleNormal="100" workbookViewId="0">
      <selection activeCell="U10" sqref="U10"/>
    </sheetView>
  </sheetViews>
  <sheetFormatPr baseColWidth="10" defaultRowHeight="15" x14ac:dyDescent="0.25"/>
  <cols>
    <col min="1" max="1" width="11.42578125" style="29"/>
    <col min="2" max="2" width="22.28515625" style="29" customWidth="1"/>
    <col min="3" max="3" width="3.42578125" style="23" customWidth="1"/>
    <col min="4" max="4" width="11.5703125" style="23"/>
    <col min="5" max="5" width="20.42578125" style="23" customWidth="1"/>
    <col min="6" max="6" width="3.42578125" style="23" customWidth="1"/>
    <col min="7" max="7" width="11.5703125" style="23" customWidth="1"/>
    <col min="8" max="8" width="20.42578125" style="23" customWidth="1"/>
    <col min="9" max="9" width="3.42578125" style="23" customWidth="1"/>
    <col min="10" max="10" width="11.5703125" style="23"/>
    <col min="11" max="11" width="20" style="23" customWidth="1"/>
    <col min="12" max="12" width="3.42578125" style="23" customWidth="1"/>
    <col min="13" max="13" width="11.5703125" style="23"/>
    <col min="14" max="14" width="19.85546875" style="23" customWidth="1"/>
    <col min="15" max="15" width="3.42578125" style="23" customWidth="1"/>
    <col min="16" max="16" width="11.5703125" style="29" customWidth="1"/>
    <col min="17" max="17" width="20.28515625" style="29" customWidth="1"/>
    <col min="18" max="18" width="11.5703125" style="1"/>
  </cols>
  <sheetData>
    <row r="1" spans="1:17" ht="16.5" thickTop="1" thickBot="1" x14ac:dyDescent="0.3">
      <c r="A1" s="22" t="s">
        <v>0</v>
      </c>
      <c r="B1" s="22"/>
      <c r="D1" s="24" t="s">
        <v>3</v>
      </c>
      <c r="E1" s="24"/>
      <c r="G1" s="24" t="s">
        <v>4</v>
      </c>
      <c r="H1" s="24"/>
      <c r="J1" s="24" t="s">
        <v>5</v>
      </c>
      <c r="K1" s="24"/>
      <c r="M1" s="24" t="s">
        <v>7</v>
      </c>
      <c r="N1" s="24"/>
      <c r="P1" s="24" t="s">
        <v>8</v>
      </c>
      <c r="Q1" s="24"/>
    </row>
    <row r="2" spans="1:17" ht="15.75" thickTop="1" x14ac:dyDescent="0.25">
      <c r="A2" s="25" t="s">
        <v>1</v>
      </c>
      <c r="B2" s="25" t="s">
        <v>6</v>
      </c>
      <c r="D2" s="25" t="s">
        <v>1</v>
      </c>
      <c r="E2" s="25" t="s">
        <v>6</v>
      </c>
      <c r="G2" s="25" t="s">
        <v>1</v>
      </c>
      <c r="H2" s="25" t="s">
        <v>6</v>
      </c>
      <c r="J2" s="25" t="s">
        <v>1</v>
      </c>
      <c r="K2" s="25" t="s">
        <v>6</v>
      </c>
      <c r="M2" s="25" t="s">
        <v>1</v>
      </c>
      <c r="N2" s="25" t="s">
        <v>6</v>
      </c>
      <c r="P2" s="25" t="s">
        <v>1</v>
      </c>
      <c r="Q2" s="25" t="s">
        <v>6</v>
      </c>
    </row>
    <row r="3" spans="1:17" x14ac:dyDescent="0.25">
      <c r="A3" s="26">
        <v>155.47399999999999</v>
      </c>
      <c r="B3" s="26">
        <v>46.643000000000001</v>
      </c>
      <c r="D3" s="27">
        <v>147.63800000000001</v>
      </c>
      <c r="E3" s="27">
        <v>44.901000000000003</v>
      </c>
      <c r="G3" s="27">
        <v>156.739</v>
      </c>
      <c r="H3" s="27">
        <v>48.162999999999997</v>
      </c>
      <c r="J3" s="27">
        <v>146.042</v>
      </c>
      <c r="K3" s="27">
        <v>44.722000000000001</v>
      </c>
      <c r="M3" s="27">
        <v>152.61699999999999</v>
      </c>
      <c r="N3" s="27">
        <v>49.11</v>
      </c>
      <c r="P3" s="27">
        <v>189.67099999999999</v>
      </c>
      <c r="Q3" s="27">
        <v>46.682000000000002</v>
      </c>
    </row>
    <row r="4" spans="1:17" x14ac:dyDescent="0.25">
      <c r="A4" s="26">
        <v>153.89500000000001</v>
      </c>
      <c r="B4" s="26">
        <v>49.305</v>
      </c>
      <c r="D4" s="27">
        <v>151.55000000000001</v>
      </c>
      <c r="E4" s="27">
        <v>47.786999999999999</v>
      </c>
      <c r="G4" s="27">
        <v>147.529</v>
      </c>
      <c r="H4" s="27">
        <v>49.594999999999999</v>
      </c>
      <c r="J4" s="27">
        <v>145.87100000000001</v>
      </c>
      <c r="K4" s="27">
        <v>45.646000000000001</v>
      </c>
      <c r="M4" s="27">
        <v>152.625</v>
      </c>
      <c r="N4" s="27">
        <v>48.057000000000002</v>
      </c>
      <c r="P4" s="27">
        <v>198.34899999999999</v>
      </c>
      <c r="Q4" s="27">
        <v>46.764000000000003</v>
      </c>
    </row>
    <row r="5" spans="1:17" x14ac:dyDescent="0.25">
      <c r="A5" s="26">
        <v>153.864</v>
      </c>
      <c r="B5" s="26">
        <v>43.271999999999998</v>
      </c>
      <c r="D5" s="27">
        <v>148.95699999999999</v>
      </c>
      <c r="E5" s="27">
        <v>49.707999999999998</v>
      </c>
      <c r="G5" s="27">
        <v>152.018</v>
      </c>
      <c r="H5" s="27">
        <v>48.838999999999999</v>
      </c>
      <c r="J5" s="27">
        <v>141.51599999999999</v>
      </c>
      <c r="K5" s="27">
        <v>47.73</v>
      </c>
      <c r="M5" s="27">
        <v>155.04400000000001</v>
      </c>
      <c r="N5" s="27">
        <v>45.67</v>
      </c>
      <c r="P5" s="27">
        <v>190.80099999999999</v>
      </c>
      <c r="Q5" s="27">
        <v>52.015999999999998</v>
      </c>
    </row>
    <row r="6" spans="1:17" x14ac:dyDescent="0.25">
      <c r="A6" s="26">
        <v>151.51900000000001</v>
      </c>
      <c r="B6" s="26">
        <v>45.713999999999999</v>
      </c>
      <c r="D6" s="27">
        <v>140.607</v>
      </c>
      <c r="E6" s="27">
        <v>44.845999999999997</v>
      </c>
      <c r="G6" s="27">
        <v>150.72300000000001</v>
      </c>
      <c r="H6" s="27">
        <v>45.473999999999997</v>
      </c>
      <c r="J6" s="27">
        <v>146.43</v>
      </c>
      <c r="K6" s="27">
        <v>49.061</v>
      </c>
      <c r="M6" s="27">
        <v>149.649</v>
      </c>
      <c r="N6" s="27">
        <v>49.408999999999999</v>
      </c>
      <c r="P6" s="27">
        <v>184.42099999999999</v>
      </c>
      <c r="Q6" s="27">
        <v>46.54</v>
      </c>
    </row>
    <row r="7" spans="1:17" x14ac:dyDescent="0.25">
      <c r="A7" s="26">
        <v>148.75700000000001</v>
      </c>
      <c r="B7" s="26">
        <v>46.112000000000002</v>
      </c>
      <c r="D7" s="27">
        <v>147.751</v>
      </c>
      <c r="E7" s="27">
        <v>48.661999999999999</v>
      </c>
      <c r="G7" s="27">
        <v>145.15899999999999</v>
      </c>
      <c r="H7" s="27">
        <v>49.853999999999999</v>
      </c>
      <c r="J7" s="27">
        <v>140.82400000000001</v>
      </c>
      <c r="K7" s="27">
        <v>45.622999999999998</v>
      </c>
      <c r="M7" s="27">
        <v>140.83600000000001</v>
      </c>
      <c r="N7" s="27">
        <v>43.076999999999998</v>
      </c>
      <c r="P7" s="27">
        <v>185.773</v>
      </c>
      <c r="Q7" s="27">
        <v>40.508000000000003</v>
      </c>
    </row>
    <row r="8" spans="1:17" x14ac:dyDescent="0.25">
      <c r="A8" s="26">
        <v>152.417</v>
      </c>
      <c r="B8" s="26">
        <v>53.72</v>
      </c>
      <c r="D8" s="27">
        <v>152.703</v>
      </c>
      <c r="E8" s="27">
        <v>44.783999999999999</v>
      </c>
      <c r="G8" s="27">
        <v>148.92400000000001</v>
      </c>
      <c r="H8" s="27">
        <v>48.66</v>
      </c>
      <c r="J8" s="27">
        <v>147.54400000000001</v>
      </c>
      <c r="K8" s="27">
        <v>47.438000000000002</v>
      </c>
      <c r="M8" s="27">
        <v>147.047</v>
      </c>
      <c r="N8" s="27">
        <v>45.491999999999997</v>
      </c>
      <c r="P8" s="27">
        <v>191.07900000000001</v>
      </c>
      <c r="Q8" s="27">
        <v>51.124000000000002</v>
      </c>
    </row>
    <row r="9" spans="1:17" x14ac:dyDescent="0.25">
      <c r="A9" s="26">
        <v>153.86000000000001</v>
      </c>
      <c r="B9" s="26">
        <v>46.795999999999999</v>
      </c>
      <c r="D9" s="27">
        <v>149.41200000000001</v>
      </c>
      <c r="E9" s="27">
        <v>45.197000000000003</v>
      </c>
      <c r="G9" s="27">
        <v>144.83000000000001</v>
      </c>
      <c r="H9" s="27">
        <v>45.838000000000001</v>
      </c>
      <c r="J9" s="27">
        <v>151.738</v>
      </c>
      <c r="K9" s="27">
        <v>49.478999999999999</v>
      </c>
      <c r="M9" s="27">
        <v>157.30099999999999</v>
      </c>
      <c r="N9" s="27">
        <v>45.67</v>
      </c>
      <c r="P9" s="27">
        <v>191.07900000000001</v>
      </c>
      <c r="Q9" s="27">
        <v>46.073</v>
      </c>
    </row>
    <row r="10" spans="1:17" x14ac:dyDescent="0.25">
      <c r="A10" s="26">
        <v>155.87100000000001</v>
      </c>
      <c r="B10" s="26">
        <v>47.070999999999998</v>
      </c>
      <c r="D10" s="27">
        <v>155.06</v>
      </c>
      <c r="E10" s="27">
        <v>44.411000000000001</v>
      </c>
      <c r="G10" s="27">
        <v>144.26900000000001</v>
      </c>
      <c r="H10" s="27">
        <v>48.232999999999997</v>
      </c>
      <c r="J10" s="27">
        <v>143.86799999999999</v>
      </c>
      <c r="K10" s="27">
        <v>44.853000000000002</v>
      </c>
      <c r="M10" s="27">
        <v>150.95400000000001</v>
      </c>
      <c r="N10" s="27">
        <v>48.817</v>
      </c>
      <c r="P10" s="27">
        <v>177.637</v>
      </c>
      <c r="Q10" s="27">
        <v>49.22</v>
      </c>
    </row>
    <row r="11" spans="1:17" x14ac:dyDescent="0.25">
      <c r="A11" s="26">
        <v>142.869</v>
      </c>
      <c r="B11" s="26">
        <v>48.920999999999999</v>
      </c>
      <c r="D11" s="27">
        <v>141.733</v>
      </c>
      <c r="E11" s="27">
        <v>46.697000000000003</v>
      </c>
      <c r="G11" s="27">
        <v>144.142</v>
      </c>
      <c r="H11" s="27">
        <v>47.281999999999996</v>
      </c>
      <c r="J11" s="27">
        <v>150.25399999999999</v>
      </c>
      <c r="K11" s="27">
        <v>46.587000000000003</v>
      </c>
      <c r="M11" s="27">
        <v>153.155</v>
      </c>
      <c r="N11" s="27">
        <v>47.271000000000001</v>
      </c>
      <c r="P11" s="27">
        <v>193.58199999999999</v>
      </c>
      <c r="Q11" s="27">
        <v>37.082999999999998</v>
      </c>
    </row>
    <row r="12" spans="1:17" x14ac:dyDescent="0.25">
      <c r="A12" s="26">
        <v>147.51300000000001</v>
      </c>
      <c r="B12" s="26">
        <v>45</v>
      </c>
      <c r="D12" s="27">
        <v>159.846</v>
      </c>
      <c r="E12" s="27">
        <v>50.118000000000002</v>
      </c>
      <c r="G12" s="27">
        <v>148.88499999999999</v>
      </c>
      <c r="H12" s="27">
        <v>45.706000000000003</v>
      </c>
      <c r="J12" s="27">
        <v>151.089</v>
      </c>
      <c r="K12" s="27">
        <v>49.57</v>
      </c>
      <c r="M12" s="27">
        <v>147.845</v>
      </c>
      <c r="N12" s="27">
        <v>46.453000000000003</v>
      </c>
      <c r="P12" s="27">
        <v>193.94</v>
      </c>
      <c r="Q12" s="27">
        <v>46.118000000000002</v>
      </c>
    </row>
    <row r="13" spans="1:17" x14ac:dyDescent="0.25">
      <c r="A13" s="26">
        <v>152.43199999999999</v>
      </c>
      <c r="B13" s="26">
        <v>48.920999999999999</v>
      </c>
      <c r="D13" s="27">
        <v>150.084</v>
      </c>
      <c r="E13" s="27">
        <v>44.406999999999996</v>
      </c>
      <c r="G13" s="27">
        <v>146.501</v>
      </c>
      <c r="H13" s="27">
        <v>46.033000000000001</v>
      </c>
      <c r="J13" s="27">
        <v>148.185</v>
      </c>
      <c r="K13" s="27">
        <v>47.405000000000001</v>
      </c>
      <c r="M13" s="27">
        <v>150.886</v>
      </c>
      <c r="N13" s="27">
        <v>49.423000000000002</v>
      </c>
      <c r="P13" s="27">
        <v>191.48</v>
      </c>
      <c r="Q13" s="27">
        <v>44.947000000000003</v>
      </c>
    </row>
    <row r="14" spans="1:17" x14ac:dyDescent="0.25">
      <c r="A14" s="26">
        <v>154.70500000000001</v>
      </c>
      <c r="B14" s="26">
        <v>44.427</v>
      </c>
      <c r="D14" s="27">
        <v>153.18700000000001</v>
      </c>
      <c r="E14" s="27">
        <v>49.161000000000001</v>
      </c>
      <c r="G14" s="27">
        <v>147.958</v>
      </c>
      <c r="H14" s="27">
        <v>48.206000000000003</v>
      </c>
      <c r="J14" s="27">
        <v>151.37799999999999</v>
      </c>
      <c r="K14" s="27">
        <v>46.542999999999999</v>
      </c>
      <c r="M14" s="27">
        <v>147.97800000000001</v>
      </c>
      <c r="N14" s="27">
        <v>48.877000000000002</v>
      </c>
      <c r="P14" s="27">
        <v>207.49199999999999</v>
      </c>
      <c r="Q14" s="27">
        <v>47.061</v>
      </c>
    </row>
    <row r="15" spans="1:17" x14ac:dyDescent="0.25">
      <c r="A15" s="26">
        <v>153.66399999999999</v>
      </c>
      <c r="B15" s="26">
        <v>43.710999999999999</v>
      </c>
      <c r="D15" s="27">
        <v>146.94200000000001</v>
      </c>
      <c r="E15" s="27">
        <v>47.182000000000002</v>
      </c>
      <c r="G15" s="27">
        <v>144.99199999999999</v>
      </c>
      <c r="H15" s="27">
        <v>46.991</v>
      </c>
      <c r="J15" s="27">
        <v>149.066</v>
      </c>
      <c r="K15" s="27">
        <v>46.454999999999998</v>
      </c>
      <c r="M15" s="27">
        <v>145.70099999999999</v>
      </c>
      <c r="N15" s="27">
        <v>44.536000000000001</v>
      </c>
      <c r="P15" s="27">
        <v>186.70599999999999</v>
      </c>
      <c r="Q15" s="27">
        <v>49.347000000000001</v>
      </c>
    </row>
    <row r="16" spans="1:17" x14ac:dyDescent="0.25">
      <c r="A16" s="26">
        <v>152.85400000000001</v>
      </c>
      <c r="B16" s="26">
        <v>47.151000000000003</v>
      </c>
      <c r="D16" s="27">
        <v>147.56299999999999</v>
      </c>
      <c r="E16" s="27">
        <v>50.226999999999997</v>
      </c>
      <c r="G16" s="27">
        <v>150.541</v>
      </c>
      <c r="H16" s="27">
        <v>47.646999999999998</v>
      </c>
      <c r="J16" s="27">
        <v>153.53899999999999</v>
      </c>
      <c r="K16" s="27">
        <v>47.725999999999999</v>
      </c>
      <c r="M16" s="27">
        <v>151.68600000000001</v>
      </c>
      <c r="N16" s="27">
        <v>50.061999999999998</v>
      </c>
      <c r="P16" s="27">
        <v>211.536</v>
      </c>
      <c r="Q16" s="27">
        <v>42.226999999999997</v>
      </c>
    </row>
    <row r="17" spans="1:17" x14ac:dyDescent="0.25">
      <c r="A17" s="26">
        <v>157.756</v>
      </c>
      <c r="B17" s="26">
        <v>43.527999999999999</v>
      </c>
      <c r="D17" s="27">
        <v>149.691</v>
      </c>
      <c r="E17" s="27">
        <v>47.850999999999999</v>
      </c>
      <c r="G17" s="27">
        <v>154.33600000000001</v>
      </c>
      <c r="H17" s="27">
        <v>44.784999999999997</v>
      </c>
      <c r="J17" s="27">
        <v>138.30600000000001</v>
      </c>
      <c r="K17" s="27">
        <v>45.746000000000002</v>
      </c>
      <c r="M17" s="27">
        <v>157.702</v>
      </c>
      <c r="N17" s="27">
        <v>47.82</v>
      </c>
      <c r="P17" s="27">
        <v>188.767</v>
      </c>
      <c r="Q17" s="27">
        <v>43.326999999999998</v>
      </c>
    </row>
    <row r="18" spans="1:17" x14ac:dyDescent="0.25">
      <c r="A18" s="26">
        <v>158.255</v>
      </c>
      <c r="B18" s="26">
        <v>46.561999999999998</v>
      </c>
      <c r="D18" s="27">
        <v>146.50399999999999</v>
      </c>
      <c r="E18" s="27">
        <v>50.527000000000001</v>
      </c>
      <c r="G18" s="27">
        <v>152.74199999999999</v>
      </c>
      <c r="H18" s="27">
        <v>42.613</v>
      </c>
      <c r="J18" s="27">
        <v>143.274</v>
      </c>
      <c r="K18" s="27">
        <v>48.875999999999998</v>
      </c>
      <c r="M18" s="27">
        <v>150.387</v>
      </c>
      <c r="N18" s="27">
        <v>47.825000000000003</v>
      </c>
      <c r="P18" s="27">
        <v>184.53800000000001</v>
      </c>
      <c r="Q18" s="27">
        <v>46.322000000000003</v>
      </c>
    </row>
    <row r="19" spans="1:17" x14ac:dyDescent="0.25">
      <c r="A19" s="26">
        <v>152.083</v>
      </c>
      <c r="B19" s="26">
        <v>45.77</v>
      </c>
      <c r="D19" s="27">
        <v>145.29300000000001</v>
      </c>
      <c r="E19" s="27">
        <v>49.448</v>
      </c>
      <c r="G19" s="27">
        <v>147.30199999999999</v>
      </c>
      <c r="H19" s="27">
        <v>45.945999999999998</v>
      </c>
      <c r="J19" s="27">
        <v>140.78</v>
      </c>
      <c r="K19" s="27">
        <v>49.406999999999996</v>
      </c>
      <c r="M19" s="27">
        <v>149.93299999999999</v>
      </c>
      <c r="N19" s="27">
        <v>49.518999999999998</v>
      </c>
      <c r="P19" s="27">
        <v>175.375</v>
      </c>
      <c r="Q19" s="27">
        <v>42.226999999999997</v>
      </c>
    </row>
    <row r="20" spans="1:17" x14ac:dyDescent="0.25">
      <c r="A20" s="26">
        <v>153.047</v>
      </c>
      <c r="B20" s="26">
        <v>47.448999999999998</v>
      </c>
      <c r="D20" s="27">
        <v>149.607</v>
      </c>
      <c r="E20" s="27">
        <v>44.911000000000001</v>
      </c>
      <c r="G20" s="27">
        <v>151.06100000000001</v>
      </c>
      <c r="H20" s="27">
        <v>43.677</v>
      </c>
      <c r="J20" s="27">
        <v>150.22499999999999</v>
      </c>
      <c r="K20" s="27">
        <v>47.634</v>
      </c>
      <c r="M20" s="27">
        <v>151.99600000000001</v>
      </c>
      <c r="N20" s="27">
        <v>45.283000000000001</v>
      </c>
      <c r="P20" s="27">
        <v>189.87799999999999</v>
      </c>
      <c r="Q20" s="27">
        <v>41.737000000000002</v>
      </c>
    </row>
    <row r="21" spans="1:17" x14ac:dyDescent="0.25">
      <c r="A21" s="26">
        <v>151.816</v>
      </c>
      <c r="B21" s="26">
        <v>48.036000000000001</v>
      </c>
      <c r="D21" s="27">
        <v>152.114</v>
      </c>
      <c r="E21" s="27">
        <v>46.654000000000003</v>
      </c>
      <c r="G21" s="27">
        <v>153.07300000000001</v>
      </c>
      <c r="H21" s="27">
        <v>46.104999999999997</v>
      </c>
      <c r="J21" s="27">
        <v>149.17500000000001</v>
      </c>
      <c r="K21" s="27">
        <v>45.536999999999999</v>
      </c>
      <c r="M21" s="27">
        <v>148.642</v>
      </c>
      <c r="N21" s="27">
        <v>49.854999999999997</v>
      </c>
      <c r="P21" s="27">
        <v>191.376</v>
      </c>
      <c r="Q21" s="27">
        <v>45.433</v>
      </c>
    </row>
    <row r="22" spans="1:17" x14ac:dyDescent="0.25">
      <c r="A22" s="26">
        <v>149.922</v>
      </c>
      <c r="B22" s="26">
        <v>50.613</v>
      </c>
      <c r="D22" s="27">
        <v>149.52600000000001</v>
      </c>
      <c r="E22" s="27">
        <v>48.1</v>
      </c>
      <c r="G22" s="27">
        <v>145.65299999999999</v>
      </c>
      <c r="H22" s="27">
        <v>46.462000000000003</v>
      </c>
      <c r="J22" s="27">
        <v>149.22900000000001</v>
      </c>
      <c r="K22" s="27">
        <v>43.247999999999998</v>
      </c>
      <c r="M22" s="27">
        <v>154.084</v>
      </c>
      <c r="N22" s="27">
        <v>47.863999999999997</v>
      </c>
      <c r="P22" s="27">
        <v>193.40600000000001</v>
      </c>
      <c r="Q22" s="27">
        <v>45.563000000000002</v>
      </c>
    </row>
    <row r="23" spans="1:17" x14ac:dyDescent="0.25">
      <c r="A23" s="26">
        <v>152.45599999999999</v>
      </c>
      <c r="B23" s="26">
        <v>48.655999999999999</v>
      </c>
      <c r="D23" s="27">
        <v>146.904</v>
      </c>
      <c r="E23" s="27">
        <v>44.473999999999997</v>
      </c>
      <c r="G23" s="27">
        <v>149.20400000000001</v>
      </c>
      <c r="H23" s="27">
        <v>44.966999999999999</v>
      </c>
      <c r="J23" s="27">
        <v>140.089</v>
      </c>
      <c r="K23" s="27">
        <v>45.14</v>
      </c>
      <c r="M23" s="27">
        <v>147.148</v>
      </c>
      <c r="N23" s="27">
        <v>44.902000000000001</v>
      </c>
      <c r="P23" s="27">
        <v>199.084</v>
      </c>
      <c r="Q23" s="27">
        <v>41.994999999999997</v>
      </c>
    </row>
    <row r="24" spans="1:17" x14ac:dyDescent="0.25">
      <c r="A24" s="26">
        <v>155.398</v>
      </c>
      <c r="B24" s="26">
        <v>46.356999999999999</v>
      </c>
      <c r="D24" s="27">
        <v>151.34700000000001</v>
      </c>
      <c r="E24" s="27">
        <v>48.762999999999998</v>
      </c>
      <c r="G24" s="27">
        <v>153.48500000000001</v>
      </c>
      <c r="H24" s="27">
        <v>46.753</v>
      </c>
      <c r="J24" s="27">
        <v>148.69200000000001</v>
      </c>
      <c r="K24" s="27">
        <v>45.445</v>
      </c>
      <c r="M24" s="27">
        <v>150.39500000000001</v>
      </c>
      <c r="N24" s="27">
        <v>48.758000000000003</v>
      </c>
      <c r="P24" s="27">
        <v>187.61099999999999</v>
      </c>
      <c r="Q24" s="27">
        <v>45.634</v>
      </c>
    </row>
    <row r="25" spans="1:17" x14ac:dyDescent="0.25">
      <c r="A25" s="26">
        <v>158.6</v>
      </c>
      <c r="B25" s="26">
        <v>48.655999999999999</v>
      </c>
      <c r="D25" s="27">
        <v>141.69399999999999</v>
      </c>
      <c r="E25" s="27">
        <v>48.725000000000001</v>
      </c>
      <c r="G25" s="27">
        <v>148.851</v>
      </c>
      <c r="H25" s="27">
        <v>46.545999999999999</v>
      </c>
      <c r="J25" s="27">
        <v>151.03800000000001</v>
      </c>
      <c r="K25" s="27">
        <v>44.508000000000003</v>
      </c>
      <c r="M25" s="27">
        <v>154.66999999999999</v>
      </c>
      <c r="N25" s="27">
        <v>47.189</v>
      </c>
      <c r="P25" s="27">
        <v>189.554</v>
      </c>
      <c r="Q25" s="27">
        <v>44.77</v>
      </c>
    </row>
    <row r="26" spans="1:17" x14ac:dyDescent="0.25">
      <c r="A26" s="26">
        <v>159.256</v>
      </c>
      <c r="B26" s="26">
        <v>50.503</v>
      </c>
      <c r="D26" s="27">
        <v>141.32400000000001</v>
      </c>
      <c r="E26" s="27">
        <v>47.924999999999997</v>
      </c>
      <c r="G26" s="27">
        <v>144.679</v>
      </c>
      <c r="H26" s="27">
        <v>46.7</v>
      </c>
      <c r="J26" s="27">
        <v>147.80099999999999</v>
      </c>
      <c r="K26" s="27">
        <v>46.831000000000003</v>
      </c>
      <c r="M26" s="27">
        <v>152.83099999999999</v>
      </c>
      <c r="N26" s="27">
        <v>47.271999999999998</v>
      </c>
      <c r="P26" s="27">
        <v>191.74299999999999</v>
      </c>
      <c r="Q26" s="27">
        <v>45.557000000000002</v>
      </c>
    </row>
    <row r="27" spans="1:17" x14ac:dyDescent="0.25">
      <c r="A27" s="26">
        <v>150.298</v>
      </c>
      <c r="B27" s="26">
        <v>47.268999999999998</v>
      </c>
      <c r="D27" s="27">
        <v>152.75800000000001</v>
      </c>
      <c r="E27" s="27">
        <v>46.235999999999997</v>
      </c>
      <c r="G27" s="27">
        <v>151.93700000000001</v>
      </c>
      <c r="H27" s="27">
        <v>48.232999999999997</v>
      </c>
      <c r="J27" s="27">
        <v>144.56</v>
      </c>
      <c r="K27" s="27">
        <v>48.645000000000003</v>
      </c>
      <c r="M27" s="27">
        <v>152.82599999999999</v>
      </c>
      <c r="N27" s="27">
        <v>48.45</v>
      </c>
      <c r="P27" s="27">
        <v>193.148</v>
      </c>
      <c r="Q27" s="27">
        <v>45.997</v>
      </c>
    </row>
    <row r="28" spans="1:17" x14ac:dyDescent="0.25">
      <c r="A28" s="26">
        <v>154.833</v>
      </c>
      <c r="B28" s="26">
        <v>45.505000000000003</v>
      </c>
      <c r="D28" s="27">
        <v>147.839</v>
      </c>
      <c r="E28" s="27">
        <v>48.453000000000003</v>
      </c>
      <c r="G28" s="27">
        <v>142.15100000000001</v>
      </c>
      <c r="H28" s="27">
        <v>46.106999999999999</v>
      </c>
      <c r="J28" s="27">
        <v>142.96299999999999</v>
      </c>
      <c r="K28" s="27">
        <v>44.835999999999999</v>
      </c>
      <c r="M28" s="27">
        <v>152.02199999999999</v>
      </c>
      <c r="N28" s="27">
        <v>47.183</v>
      </c>
      <c r="P28" s="27">
        <v>200.614</v>
      </c>
      <c r="Q28" s="27">
        <v>44.384999999999998</v>
      </c>
    </row>
    <row r="29" spans="1:17" x14ac:dyDescent="0.25">
      <c r="A29" s="26">
        <v>146.654</v>
      </c>
      <c r="B29" s="26">
        <v>44.427</v>
      </c>
      <c r="D29" s="27">
        <v>145.06700000000001</v>
      </c>
      <c r="E29" s="27">
        <v>48.899000000000001</v>
      </c>
      <c r="G29" s="27">
        <v>152.25200000000001</v>
      </c>
      <c r="H29" s="27">
        <v>45.573</v>
      </c>
      <c r="J29" s="27">
        <v>150.00299999999999</v>
      </c>
      <c r="K29" s="27">
        <v>45.731999999999999</v>
      </c>
      <c r="M29" s="27">
        <v>155.17699999999999</v>
      </c>
      <c r="N29" s="27">
        <v>47.542000000000002</v>
      </c>
      <c r="P29" s="27">
        <v>185.995</v>
      </c>
      <c r="Q29" s="27">
        <v>49.22</v>
      </c>
    </row>
    <row r="30" spans="1:17" x14ac:dyDescent="0.25">
      <c r="A30" s="26">
        <v>150.79400000000001</v>
      </c>
      <c r="B30" s="26">
        <v>46.698</v>
      </c>
      <c r="D30" s="27">
        <v>144.60900000000001</v>
      </c>
      <c r="E30" s="27">
        <v>48.104999999999997</v>
      </c>
      <c r="G30" s="27">
        <v>148.87299999999999</v>
      </c>
      <c r="H30" s="27">
        <v>44.453000000000003</v>
      </c>
      <c r="J30" s="27">
        <v>143.32599999999999</v>
      </c>
      <c r="K30" s="27">
        <v>43.728000000000002</v>
      </c>
      <c r="M30" s="27">
        <v>154.35900000000001</v>
      </c>
      <c r="N30" s="27">
        <v>46.466000000000001</v>
      </c>
      <c r="P30" s="27">
        <v>179.346</v>
      </c>
      <c r="Q30" s="27">
        <v>46.741999999999997</v>
      </c>
    </row>
    <row r="31" spans="1:17" x14ac:dyDescent="0.25">
      <c r="A31" s="26">
        <v>152.126</v>
      </c>
      <c r="B31" s="26">
        <v>45.448</v>
      </c>
      <c r="D31" s="27">
        <v>151.30799999999999</v>
      </c>
      <c r="E31" s="27">
        <v>43.706000000000003</v>
      </c>
      <c r="G31" s="27">
        <v>149.07300000000001</v>
      </c>
      <c r="H31" s="27">
        <v>47.152000000000001</v>
      </c>
      <c r="J31" s="27">
        <v>147.887</v>
      </c>
      <c r="K31" s="27">
        <v>48.082000000000001</v>
      </c>
      <c r="M31" s="27">
        <v>146.62799999999999</v>
      </c>
      <c r="N31" s="27">
        <v>46.347999999999999</v>
      </c>
      <c r="P31" s="27">
        <v>183.77099999999999</v>
      </c>
      <c r="Q31" s="27">
        <v>46.484000000000002</v>
      </c>
    </row>
    <row r="32" spans="1:17" x14ac:dyDescent="0.25">
      <c r="A32" s="26">
        <v>151.38900000000001</v>
      </c>
      <c r="B32" s="26">
        <v>45.831000000000003</v>
      </c>
      <c r="D32" s="27">
        <v>151.76400000000001</v>
      </c>
      <c r="E32" s="27">
        <v>43.706000000000003</v>
      </c>
      <c r="G32" s="27">
        <v>149.773</v>
      </c>
      <c r="H32" s="27">
        <v>47.551000000000002</v>
      </c>
      <c r="J32" s="27">
        <v>143.256</v>
      </c>
      <c r="K32" s="27">
        <v>44.594000000000001</v>
      </c>
      <c r="M32" s="27">
        <v>151.886</v>
      </c>
      <c r="N32" s="27">
        <v>50.12</v>
      </c>
      <c r="P32" s="27">
        <v>190.113</v>
      </c>
      <c r="Q32" s="27">
        <v>52.594999999999999</v>
      </c>
    </row>
    <row r="33" spans="1:17" x14ac:dyDescent="0.25">
      <c r="A33" s="26">
        <v>150.51400000000001</v>
      </c>
      <c r="B33" s="26">
        <v>44.1</v>
      </c>
      <c r="D33" s="27">
        <v>143.58699999999999</v>
      </c>
      <c r="E33" s="27">
        <v>45.674999999999997</v>
      </c>
      <c r="G33" s="27">
        <v>150.08699999999999</v>
      </c>
      <c r="H33" s="27">
        <v>46.646000000000001</v>
      </c>
      <c r="J33" s="27">
        <v>146.12899999999999</v>
      </c>
      <c r="K33" s="27">
        <v>47.83</v>
      </c>
      <c r="M33" s="27">
        <v>151.15199999999999</v>
      </c>
      <c r="N33" s="27">
        <v>48.018000000000001</v>
      </c>
      <c r="P33" s="27">
        <v>194.97300000000001</v>
      </c>
      <c r="Q33" s="27">
        <v>53.603000000000002</v>
      </c>
    </row>
    <row r="34" spans="1:17" x14ac:dyDescent="0.25">
      <c r="A34" s="26">
        <v>154.95599999999999</v>
      </c>
      <c r="B34" s="26">
        <v>47.273000000000003</v>
      </c>
      <c r="D34" s="27">
        <v>145.47300000000001</v>
      </c>
      <c r="E34" s="27">
        <v>45.914000000000001</v>
      </c>
      <c r="G34" s="27">
        <v>144.94800000000001</v>
      </c>
      <c r="H34" s="27">
        <v>46.843000000000004</v>
      </c>
      <c r="J34" s="27">
        <v>148.5</v>
      </c>
      <c r="K34" s="27">
        <v>43.712000000000003</v>
      </c>
      <c r="M34" s="27">
        <v>156.85300000000001</v>
      </c>
      <c r="N34" s="27">
        <v>49.707000000000001</v>
      </c>
      <c r="P34" s="27">
        <v>186.73699999999999</v>
      </c>
      <c r="Q34" s="27">
        <v>47.514000000000003</v>
      </c>
    </row>
    <row r="35" spans="1:17" x14ac:dyDescent="0.25">
      <c r="A35" s="26">
        <v>155.43100000000001</v>
      </c>
      <c r="B35" s="26">
        <v>48.594999999999999</v>
      </c>
      <c r="D35" s="27">
        <v>147.46199999999999</v>
      </c>
      <c r="E35" s="27">
        <v>46.744</v>
      </c>
      <c r="G35" s="27">
        <v>147.732</v>
      </c>
      <c r="H35" s="27">
        <v>47.929000000000002</v>
      </c>
      <c r="J35" s="27">
        <v>148.65</v>
      </c>
      <c r="K35" s="27">
        <v>49.215000000000003</v>
      </c>
      <c r="M35" s="27">
        <v>150.5</v>
      </c>
      <c r="N35" s="27">
        <v>49.036999999999999</v>
      </c>
      <c r="P35" s="27">
        <v>193.46299999999999</v>
      </c>
      <c r="Q35" s="27">
        <v>47.070999999999998</v>
      </c>
    </row>
    <row r="36" spans="1:17" x14ac:dyDescent="0.25">
      <c r="A36" s="26">
        <v>153.76300000000001</v>
      </c>
      <c r="B36" s="26">
        <v>49.866</v>
      </c>
      <c r="D36" s="27">
        <v>149.23699999999999</v>
      </c>
      <c r="E36" s="27">
        <v>49.747999999999998</v>
      </c>
      <c r="G36" s="27">
        <v>140.227</v>
      </c>
      <c r="H36" s="27">
        <v>43.472999999999999</v>
      </c>
      <c r="J36" s="27">
        <v>145.43299999999999</v>
      </c>
      <c r="K36" s="27">
        <v>48.74</v>
      </c>
      <c r="M36" s="27">
        <v>144.09</v>
      </c>
      <c r="N36" s="27">
        <v>50.252000000000002</v>
      </c>
      <c r="P36" s="27">
        <v>189.72200000000001</v>
      </c>
      <c r="Q36" s="27">
        <v>46.173999999999999</v>
      </c>
    </row>
    <row r="37" spans="1:17" x14ac:dyDescent="0.25">
      <c r="A37" s="26">
        <v>152.36600000000001</v>
      </c>
      <c r="B37" s="26">
        <v>46.012999999999998</v>
      </c>
      <c r="D37" s="27">
        <v>140.36600000000001</v>
      </c>
      <c r="E37" s="27">
        <v>48.423000000000002</v>
      </c>
      <c r="G37" s="27">
        <v>145.672</v>
      </c>
      <c r="H37" s="27">
        <v>46.902999999999999</v>
      </c>
      <c r="J37" s="27">
        <v>145.97399999999999</v>
      </c>
      <c r="K37" s="27">
        <v>46.552999999999997</v>
      </c>
      <c r="M37" s="27">
        <v>150.58799999999999</v>
      </c>
      <c r="N37" s="27">
        <v>47.734000000000002</v>
      </c>
      <c r="P37" s="27">
        <v>162.08199999999999</v>
      </c>
      <c r="Q37" s="27">
        <v>47.713000000000001</v>
      </c>
    </row>
    <row r="38" spans="1:17" x14ac:dyDescent="0.25">
      <c r="A38" s="26">
        <v>158.124</v>
      </c>
      <c r="B38" s="26">
        <v>45.185000000000002</v>
      </c>
      <c r="D38" s="27">
        <v>149.083</v>
      </c>
      <c r="E38" s="27">
        <v>46.524000000000001</v>
      </c>
      <c r="G38" s="27">
        <v>148.785</v>
      </c>
      <c r="H38" s="27">
        <v>46.613999999999997</v>
      </c>
      <c r="J38" s="27">
        <v>146.119</v>
      </c>
      <c r="K38" s="27">
        <v>44.423999999999999</v>
      </c>
      <c r="M38" s="27">
        <v>152.36799999999999</v>
      </c>
      <c r="N38" s="27">
        <v>48.439</v>
      </c>
      <c r="P38" s="27">
        <v>195.94900000000001</v>
      </c>
      <c r="Q38" s="27">
        <v>43.595999999999997</v>
      </c>
    </row>
    <row r="39" spans="1:17" x14ac:dyDescent="0.25">
      <c r="A39" s="26">
        <v>149.958</v>
      </c>
      <c r="B39" s="26">
        <v>48.509</v>
      </c>
      <c r="D39" s="27">
        <v>142.541</v>
      </c>
      <c r="E39" s="27">
        <v>46.82</v>
      </c>
      <c r="G39" s="27">
        <v>155.12</v>
      </c>
      <c r="H39" s="27">
        <v>47.731000000000002</v>
      </c>
      <c r="J39" s="27">
        <v>145.10599999999999</v>
      </c>
      <c r="K39" s="27">
        <v>45.667000000000002</v>
      </c>
      <c r="M39" s="27">
        <v>147.28700000000001</v>
      </c>
      <c r="N39" s="27">
        <v>47.999000000000002</v>
      </c>
      <c r="P39" s="27">
        <v>193.20699999999999</v>
      </c>
      <c r="Q39" s="27">
        <v>47.817</v>
      </c>
    </row>
    <row r="40" spans="1:17" x14ac:dyDescent="0.25">
      <c r="A40" s="26">
        <v>150.46</v>
      </c>
      <c r="B40" s="26">
        <v>48.948999999999998</v>
      </c>
      <c r="D40" s="27">
        <v>144.43600000000001</v>
      </c>
      <c r="E40" s="27">
        <v>44.792000000000002</v>
      </c>
      <c r="G40" s="27">
        <v>151.77099999999999</v>
      </c>
      <c r="H40" s="27">
        <v>49.83</v>
      </c>
      <c r="J40" s="27">
        <v>144.874</v>
      </c>
      <c r="K40" s="27">
        <v>45.829000000000001</v>
      </c>
      <c r="M40" s="27">
        <v>155.43199999999999</v>
      </c>
      <c r="N40" s="27">
        <v>47.834000000000003</v>
      </c>
      <c r="P40" s="27">
        <v>190.02500000000001</v>
      </c>
      <c r="Q40" s="27">
        <v>45.537999999999997</v>
      </c>
    </row>
    <row r="41" spans="1:17" x14ac:dyDescent="0.25">
      <c r="A41" s="26">
        <v>153.285</v>
      </c>
      <c r="B41" s="26">
        <v>47.268999999999998</v>
      </c>
      <c r="D41" s="27">
        <v>144.54300000000001</v>
      </c>
      <c r="E41" s="27">
        <v>45.753</v>
      </c>
      <c r="G41" s="27">
        <v>149.31399999999999</v>
      </c>
      <c r="H41" s="27">
        <v>45.845999999999997</v>
      </c>
      <c r="J41" s="27">
        <v>143.91300000000001</v>
      </c>
      <c r="K41" s="27">
        <v>45.372999999999998</v>
      </c>
      <c r="M41" s="27">
        <v>158.23699999999999</v>
      </c>
      <c r="N41" s="27">
        <v>49.716999999999999</v>
      </c>
      <c r="P41" s="27">
        <v>183.822</v>
      </c>
      <c r="Q41" s="27">
        <v>47.783000000000001</v>
      </c>
    </row>
    <row r="42" spans="1:17" x14ac:dyDescent="0.25">
      <c r="A42" s="26">
        <v>154.446</v>
      </c>
      <c r="B42" s="26">
        <v>51.704000000000001</v>
      </c>
      <c r="D42" s="27">
        <v>150.77000000000001</v>
      </c>
      <c r="E42" s="27">
        <v>48.436999999999998</v>
      </c>
      <c r="G42" s="27">
        <v>149.02699999999999</v>
      </c>
      <c r="H42" s="27">
        <v>46.807000000000002</v>
      </c>
      <c r="J42" s="27">
        <v>153.41900000000001</v>
      </c>
      <c r="K42" s="27">
        <v>44.277000000000001</v>
      </c>
      <c r="M42" s="27">
        <v>163.095</v>
      </c>
      <c r="N42" s="27">
        <v>50.258000000000003</v>
      </c>
      <c r="P42" s="27">
        <v>182.095</v>
      </c>
      <c r="Q42" s="27">
        <v>50.22</v>
      </c>
    </row>
    <row r="43" spans="1:17" x14ac:dyDescent="0.25">
      <c r="A43" s="26">
        <v>151.79</v>
      </c>
      <c r="B43" s="26">
        <v>46.898000000000003</v>
      </c>
      <c r="D43" s="27">
        <v>149.089</v>
      </c>
      <c r="E43" s="27">
        <v>50.021999999999998</v>
      </c>
      <c r="G43" s="27">
        <v>148.21</v>
      </c>
      <c r="H43" s="27">
        <v>49.023000000000003</v>
      </c>
      <c r="J43" s="27">
        <v>150.19900000000001</v>
      </c>
      <c r="K43" s="27">
        <v>47.493000000000002</v>
      </c>
      <c r="M43" s="27">
        <v>145.42400000000001</v>
      </c>
      <c r="N43" s="27">
        <v>46.139000000000003</v>
      </c>
      <c r="P43" s="27">
        <v>146.62100000000001</v>
      </c>
      <c r="Q43" s="27">
        <v>47.773000000000003</v>
      </c>
    </row>
    <row r="44" spans="1:17" x14ac:dyDescent="0.25">
      <c r="A44" s="26">
        <v>145.88300000000001</v>
      </c>
      <c r="B44" s="26">
        <v>47.936</v>
      </c>
      <c r="D44" s="27">
        <v>150.524</v>
      </c>
      <c r="E44" s="27">
        <v>43.725000000000001</v>
      </c>
      <c r="G44" s="27">
        <v>150.99799999999999</v>
      </c>
      <c r="H44" s="27">
        <v>46.213000000000001</v>
      </c>
      <c r="J44" s="27">
        <v>143.316</v>
      </c>
      <c r="K44" s="27">
        <v>46.433</v>
      </c>
      <c r="M44" s="27">
        <v>150.91399999999999</v>
      </c>
      <c r="N44" s="27">
        <v>45.578000000000003</v>
      </c>
      <c r="P44" s="27">
        <v>183.017</v>
      </c>
      <c r="Q44" s="27">
        <v>47.680999999999997</v>
      </c>
    </row>
    <row r="45" spans="1:17" x14ac:dyDescent="0.25">
      <c r="A45" s="26">
        <v>157.453</v>
      </c>
      <c r="B45" s="26">
        <v>44.036999999999999</v>
      </c>
      <c r="D45" s="27">
        <v>144.959</v>
      </c>
      <c r="E45" s="27">
        <v>47.344999999999999</v>
      </c>
      <c r="G45" s="27">
        <v>152.173</v>
      </c>
      <c r="H45" s="27">
        <v>49.448</v>
      </c>
      <c r="J45" s="27">
        <v>155.447</v>
      </c>
      <c r="K45" s="27">
        <v>45.582000000000001</v>
      </c>
      <c r="M45" s="27">
        <v>149.614</v>
      </c>
      <c r="N45" s="27">
        <v>44.78</v>
      </c>
      <c r="P45" s="27">
        <v>188.91399999999999</v>
      </c>
      <c r="Q45" s="27">
        <v>47.228000000000002</v>
      </c>
    </row>
    <row r="46" spans="1:17" x14ac:dyDescent="0.25">
      <c r="A46" s="26">
        <v>142.869</v>
      </c>
      <c r="B46" s="26">
        <v>46.472000000000001</v>
      </c>
      <c r="D46" s="27">
        <v>149.16</v>
      </c>
      <c r="E46" s="27">
        <v>45.911999999999999</v>
      </c>
      <c r="G46" s="27">
        <v>150.10499999999999</v>
      </c>
      <c r="H46" s="27">
        <v>46.767000000000003</v>
      </c>
      <c r="J46" s="27">
        <v>147.75200000000001</v>
      </c>
      <c r="K46" s="27">
        <v>43.093000000000004</v>
      </c>
      <c r="M46" s="27">
        <v>145.32</v>
      </c>
      <c r="N46" s="27">
        <v>46.445</v>
      </c>
      <c r="P46" s="27">
        <v>201.971</v>
      </c>
      <c r="Q46" s="27">
        <v>46.341000000000001</v>
      </c>
    </row>
    <row r="47" spans="1:17" x14ac:dyDescent="0.25">
      <c r="A47" s="26">
        <v>159.75399999999999</v>
      </c>
      <c r="B47" s="26">
        <v>46.527999999999999</v>
      </c>
      <c r="D47" s="27">
        <v>146.834</v>
      </c>
      <c r="E47" s="27">
        <v>46.493000000000002</v>
      </c>
      <c r="G47" s="27">
        <v>145.672</v>
      </c>
      <c r="H47" s="27">
        <v>48.134</v>
      </c>
      <c r="J47" s="27">
        <v>146.25</v>
      </c>
      <c r="K47" s="27">
        <v>42.404000000000003</v>
      </c>
      <c r="M47" s="27">
        <v>153.72200000000001</v>
      </c>
      <c r="N47" s="27">
        <v>45.591000000000001</v>
      </c>
      <c r="P47" s="27">
        <v>188.26599999999999</v>
      </c>
      <c r="Q47" s="27">
        <v>47.780999999999999</v>
      </c>
    </row>
    <row r="48" spans="1:17" x14ac:dyDescent="0.25">
      <c r="A48" s="26">
        <v>154.41200000000001</v>
      </c>
      <c r="B48" s="26">
        <v>48.823</v>
      </c>
      <c r="D48" s="27">
        <v>147.74700000000001</v>
      </c>
      <c r="E48" s="27">
        <v>47.347000000000001</v>
      </c>
      <c r="G48" s="27">
        <v>146.857</v>
      </c>
      <c r="H48" s="27">
        <v>47.011000000000003</v>
      </c>
      <c r="J48" s="27">
        <v>145.15700000000001</v>
      </c>
      <c r="K48" s="27">
        <v>48.259</v>
      </c>
      <c r="M48" s="27">
        <v>154.03200000000001</v>
      </c>
      <c r="N48" s="27">
        <v>46.881999999999998</v>
      </c>
      <c r="P48" s="27">
        <v>181.12</v>
      </c>
      <c r="Q48" s="27">
        <v>47.082999999999998</v>
      </c>
    </row>
    <row r="49" spans="1:17" x14ac:dyDescent="0.25">
      <c r="A49" s="26">
        <v>153.50399999999999</v>
      </c>
      <c r="B49" s="26">
        <v>46.795999999999999</v>
      </c>
      <c r="D49" s="27">
        <v>142.38800000000001</v>
      </c>
      <c r="E49" s="27">
        <v>47.281999999999996</v>
      </c>
      <c r="G49" s="27">
        <v>152.233</v>
      </c>
      <c r="H49" s="27">
        <v>49.046999999999997</v>
      </c>
      <c r="J49" s="25"/>
      <c r="K49" s="27">
        <v>43.610999999999997</v>
      </c>
      <c r="M49" s="27">
        <v>155.83099999999999</v>
      </c>
      <c r="N49" s="27">
        <v>47.276000000000003</v>
      </c>
      <c r="P49" s="27">
        <v>198.285</v>
      </c>
      <c r="Q49" s="27">
        <v>48.164999999999999</v>
      </c>
    </row>
    <row r="50" spans="1:17" x14ac:dyDescent="0.25">
      <c r="A50" s="26">
        <v>146.85</v>
      </c>
      <c r="B50" s="26">
        <v>48.774000000000001</v>
      </c>
      <c r="D50" s="27">
        <v>142.04400000000001</v>
      </c>
      <c r="E50" s="27">
        <v>49.624000000000002</v>
      </c>
      <c r="G50" s="27">
        <v>145.21</v>
      </c>
      <c r="H50" s="27">
        <v>45.024000000000001</v>
      </c>
      <c r="J50" s="25"/>
      <c r="K50" s="27">
        <v>46.018999999999998</v>
      </c>
      <c r="M50" s="27">
        <v>153.065</v>
      </c>
      <c r="N50" s="27">
        <v>47.7</v>
      </c>
      <c r="P50" s="27">
        <v>203.09399999999999</v>
      </c>
      <c r="Q50" s="27">
        <v>48.591000000000001</v>
      </c>
    </row>
    <row r="51" spans="1:17" x14ac:dyDescent="0.25">
      <c r="A51" s="26">
        <v>150.78200000000001</v>
      </c>
      <c r="B51" s="26">
        <v>47.999000000000002</v>
      </c>
      <c r="D51" s="27">
        <v>147.989</v>
      </c>
      <c r="E51" s="27">
        <v>49.616999999999997</v>
      </c>
      <c r="G51" s="27">
        <v>146.761</v>
      </c>
      <c r="H51" s="27">
        <v>49.655999999999999</v>
      </c>
      <c r="J51" s="25"/>
      <c r="K51" s="27">
        <v>45.848999999999997</v>
      </c>
      <c r="M51" s="27">
        <v>153.197</v>
      </c>
      <c r="N51" s="27">
        <v>47.500999999999998</v>
      </c>
      <c r="P51" s="27">
        <v>195.47399999999999</v>
      </c>
      <c r="Q51" s="27">
        <v>48.115000000000002</v>
      </c>
    </row>
    <row r="52" spans="1:17" x14ac:dyDescent="0.25">
      <c r="A52" s="26">
        <v>146.01900000000001</v>
      </c>
      <c r="B52" s="26">
        <v>50.045000000000002</v>
      </c>
      <c r="D52" s="27">
        <v>148.654</v>
      </c>
      <c r="E52" s="27">
        <v>47.39</v>
      </c>
      <c r="G52" s="27">
        <v>146.18600000000001</v>
      </c>
      <c r="H52" s="27">
        <v>46.435000000000002</v>
      </c>
      <c r="J52" s="25"/>
      <c r="K52" s="27">
        <v>45.426000000000002</v>
      </c>
      <c r="M52" s="27">
        <v>154.40600000000001</v>
      </c>
      <c r="N52" s="27">
        <v>47.689</v>
      </c>
      <c r="P52" s="27">
        <v>194.73</v>
      </c>
      <c r="Q52" s="27">
        <v>52.859000000000002</v>
      </c>
    </row>
    <row r="53" spans="1:17" x14ac:dyDescent="0.25">
      <c r="A53" s="26">
        <v>151.773</v>
      </c>
      <c r="B53" s="26">
        <v>50.91</v>
      </c>
      <c r="D53" s="27">
        <v>145.35900000000001</v>
      </c>
      <c r="E53" s="27">
        <v>41.734000000000002</v>
      </c>
      <c r="G53" s="27">
        <v>150.84200000000001</v>
      </c>
      <c r="H53" s="27">
        <v>46.268000000000001</v>
      </c>
      <c r="J53" s="25"/>
      <c r="K53" s="27">
        <v>45.371000000000002</v>
      </c>
      <c r="M53" s="27">
        <v>147.346</v>
      </c>
      <c r="N53" s="27">
        <v>46.85</v>
      </c>
      <c r="P53" s="27">
        <v>184.80099999999999</v>
      </c>
      <c r="Q53" s="27">
        <v>48.965000000000003</v>
      </c>
    </row>
    <row r="54" spans="1:17" x14ac:dyDescent="0.25">
      <c r="A54" s="26">
        <v>154.21100000000001</v>
      </c>
      <c r="B54" s="26">
        <v>47.686999999999998</v>
      </c>
      <c r="D54" s="27">
        <v>149.376</v>
      </c>
      <c r="E54" s="27">
        <v>46.917999999999999</v>
      </c>
      <c r="G54" s="27">
        <v>149.99</v>
      </c>
      <c r="H54" s="27">
        <v>52.262999999999998</v>
      </c>
      <c r="J54" s="25"/>
      <c r="K54" s="27">
        <v>48.923000000000002</v>
      </c>
      <c r="M54" s="27">
        <v>157.654</v>
      </c>
      <c r="N54" s="27">
        <v>48.884999999999998</v>
      </c>
      <c r="P54" s="27">
        <v>149.16900000000001</v>
      </c>
      <c r="Q54" s="27">
        <v>48.05</v>
      </c>
    </row>
    <row r="55" spans="1:17" x14ac:dyDescent="0.25">
      <c r="A55" s="26">
        <v>156.43899999999999</v>
      </c>
      <c r="B55" s="26">
        <v>46.847000000000001</v>
      </c>
      <c r="D55" s="27">
        <v>151.86199999999999</v>
      </c>
      <c r="E55" s="27">
        <v>47.673999999999999</v>
      </c>
      <c r="G55" s="27">
        <v>152.65700000000001</v>
      </c>
      <c r="H55" s="27">
        <v>48.158000000000001</v>
      </c>
      <c r="J55" s="25"/>
      <c r="K55" s="27">
        <v>46.055999999999997</v>
      </c>
      <c r="M55" s="27">
        <v>154.58199999999999</v>
      </c>
      <c r="N55" s="27">
        <v>48.36</v>
      </c>
      <c r="P55" s="27">
        <v>193.458</v>
      </c>
      <c r="Q55" s="27">
        <v>49.177999999999997</v>
      </c>
    </row>
    <row r="56" spans="1:17" x14ac:dyDescent="0.25">
      <c r="A56" s="26">
        <v>150.82</v>
      </c>
      <c r="B56" s="26">
        <v>45.185000000000002</v>
      </c>
      <c r="D56" s="27">
        <v>152.37100000000001</v>
      </c>
      <c r="E56" s="27">
        <v>48.335999999999999</v>
      </c>
      <c r="G56" s="27">
        <v>151.15</v>
      </c>
      <c r="H56" s="27">
        <v>46.692999999999998</v>
      </c>
      <c r="J56" s="25"/>
      <c r="K56" s="27">
        <v>47.075000000000003</v>
      </c>
      <c r="M56" s="27">
        <v>160.376</v>
      </c>
      <c r="N56" s="27">
        <v>48.093000000000004</v>
      </c>
      <c r="P56" s="27">
        <v>197.71100000000001</v>
      </c>
      <c r="Q56" s="27">
        <v>46.186999999999998</v>
      </c>
    </row>
    <row r="57" spans="1:17" x14ac:dyDescent="0.25">
      <c r="A57" s="26">
        <v>151.68</v>
      </c>
      <c r="B57" s="26">
        <v>51.085000000000001</v>
      </c>
      <c r="D57" s="27">
        <v>143.048</v>
      </c>
      <c r="E57" s="27">
        <v>45.502000000000002</v>
      </c>
      <c r="G57" s="27">
        <v>152.91200000000001</v>
      </c>
      <c r="H57" s="27">
        <v>52.026000000000003</v>
      </c>
      <c r="J57" s="25"/>
      <c r="K57" s="27">
        <v>43.621000000000002</v>
      </c>
      <c r="M57" s="27">
        <v>155.756</v>
      </c>
      <c r="N57" s="27">
        <v>49.121000000000002</v>
      </c>
      <c r="P57" s="27">
        <v>191.09899999999999</v>
      </c>
      <c r="Q57" s="27">
        <v>46.789000000000001</v>
      </c>
    </row>
    <row r="58" spans="1:17" x14ac:dyDescent="0.25">
      <c r="A58" s="26">
        <v>154.35300000000001</v>
      </c>
      <c r="B58" s="26">
        <v>45.106000000000002</v>
      </c>
      <c r="D58" s="27">
        <v>143.74</v>
      </c>
      <c r="E58" s="27">
        <v>48.956000000000003</v>
      </c>
      <c r="G58" s="27">
        <v>149.97999999999999</v>
      </c>
      <c r="H58" s="27">
        <v>45.722999999999999</v>
      </c>
      <c r="J58" s="25"/>
      <c r="K58" s="27">
        <v>44.444000000000003</v>
      </c>
      <c r="M58" s="27">
        <v>153.26</v>
      </c>
      <c r="N58" s="27">
        <v>48.43</v>
      </c>
      <c r="P58" s="27">
        <v>197.37299999999999</v>
      </c>
      <c r="Q58" s="27">
        <v>47.790999999999997</v>
      </c>
    </row>
    <row r="59" spans="1:17" x14ac:dyDescent="0.25">
      <c r="A59" s="26">
        <v>153.369</v>
      </c>
      <c r="B59" s="26">
        <v>44.640999999999998</v>
      </c>
      <c r="D59" s="27">
        <v>142.149</v>
      </c>
      <c r="E59" s="27">
        <v>47.57</v>
      </c>
      <c r="G59" s="27">
        <v>146.76</v>
      </c>
      <c r="H59" s="27">
        <v>48</v>
      </c>
      <c r="J59" s="25"/>
      <c r="K59" s="27">
        <v>46.194000000000003</v>
      </c>
      <c r="M59" s="27">
        <v>153.964</v>
      </c>
      <c r="N59" s="27">
        <v>49.639000000000003</v>
      </c>
      <c r="P59" s="27">
        <v>203.67400000000001</v>
      </c>
      <c r="Q59" s="27">
        <v>50.570999999999998</v>
      </c>
    </row>
    <row r="60" spans="1:17" x14ac:dyDescent="0.25">
      <c r="A60" s="26">
        <v>153.66200000000001</v>
      </c>
      <c r="B60" s="26">
        <v>47.540999999999997</v>
      </c>
      <c r="D60" s="27">
        <v>144.149</v>
      </c>
      <c r="E60" s="27">
        <v>46.987000000000002</v>
      </c>
      <c r="G60" s="27">
        <v>148.489</v>
      </c>
      <c r="H60" s="27">
        <v>49.417999999999999</v>
      </c>
      <c r="J60" s="25"/>
      <c r="K60" s="27">
        <v>46.46</v>
      </c>
      <c r="M60" s="27">
        <v>154.94200000000001</v>
      </c>
      <c r="N60" s="27">
        <v>47.531999999999996</v>
      </c>
      <c r="P60" s="27">
        <v>194.88</v>
      </c>
      <c r="Q60" s="27">
        <v>49.396000000000001</v>
      </c>
    </row>
    <row r="61" spans="1:17" x14ac:dyDescent="0.25">
      <c r="A61" s="26">
        <v>155.59399999999999</v>
      </c>
      <c r="B61" s="26">
        <v>48.73</v>
      </c>
      <c r="D61" s="27">
        <v>146.59299999999999</v>
      </c>
      <c r="E61" s="27">
        <v>46.985999999999997</v>
      </c>
      <c r="G61" s="27">
        <v>154.45500000000001</v>
      </c>
      <c r="H61" s="27">
        <v>45.436999999999998</v>
      </c>
      <c r="J61" s="25"/>
      <c r="K61" s="27">
        <v>44.3</v>
      </c>
      <c r="M61" s="27">
        <v>152.95699999999999</v>
      </c>
      <c r="N61" s="27">
        <v>47.948</v>
      </c>
      <c r="P61" s="27">
        <v>197.99</v>
      </c>
      <c r="Q61" s="27">
        <v>45.713999999999999</v>
      </c>
    </row>
    <row r="62" spans="1:17" x14ac:dyDescent="0.25">
      <c r="A62" s="26">
        <v>152.399</v>
      </c>
      <c r="B62" s="26">
        <v>46.008000000000003</v>
      </c>
      <c r="D62" s="27">
        <v>149.09100000000001</v>
      </c>
      <c r="E62" s="27">
        <v>47.835000000000001</v>
      </c>
      <c r="G62" s="27">
        <v>153.72200000000001</v>
      </c>
      <c r="H62" s="27">
        <v>46.996000000000002</v>
      </c>
      <c r="J62" s="25"/>
      <c r="K62" s="27">
        <v>45.014000000000003</v>
      </c>
      <c r="M62" s="27">
        <v>152.28800000000001</v>
      </c>
      <c r="N62" s="27">
        <v>48.036999999999999</v>
      </c>
      <c r="P62" s="27">
        <v>204.68</v>
      </c>
      <c r="Q62" s="51"/>
    </row>
    <row r="63" spans="1:17" x14ac:dyDescent="0.25">
      <c r="A63" s="26">
        <v>155.739</v>
      </c>
      <c r="B63" s="26">
        <v>48.164000000000001</v>
      </c>
      <c r="D63" s="27">
        <v>143.47</v>
      </c>
      <c r="E63" s="27">
        <v>50.218000000000004</v>
      </c>
      <c r="G63" s="27">
        <v>154.30600000000001</v>
      </c>
      <c r="H63" s="27">
        <v>45.645000000000003</v>
      </c>
      <c r="J63" s="25"/>
      <c r="K63" s="27">
        <v>47.095999999999997</v>
      </c>
      <c r="M63" s="27">
        <v>157.37700000000001</v>
      </c>
      <c r="N63" s="27">
        <v>48.731000000000002</v>
      </c>
      <c r="P63" s="27">
        <v>181.05699999999999</v>
      </c>
      <c r="Q63" s="51"/>
    </row>
    <row r="64" spans="1:17" x14ac:dyDescent="0.25">
      <c r="A64" s="26">
        <v>155.41399999999999</v>
      </c>
      <c r="B64" s="26">
        <v>48.262999999999998</v>
      </c>
      <c r="D64" s="27">
        <v>139.73699999999999</v>
      </c>
      <c r="E64" s="27">
        <v>45.872999999999998</v>
      </c>
      <c r="G64" s="27">
        <v>144.03</v>
      </c>
      <c r="H64" s="27">
        <v>46.82</v>
      </c>
      <c r="J64" s="25"/>
      <c r="K64" s="27">
        <v>45.276000000000003</v>
      </c>
      <c r="M64" s="27">
        <v>154.15</v>
      </c>
      <c r="N64" s="27">
        <v>50.720999999999997</v>
      </c>
      <c r="P64" s="27">
        <v>189.755</v>
      </c>
      <c r="Q64" s="51"/>
    </row>
    <row r="65" spans="1:17" x14ac:dyDescent="0.25">
      <c r="A65" s="26">
        <v>152.99600000000001</v>
      </c>
      <c r="B65" s="26">
        <v>46.012999999999998</v>
      </c>
      <c r="D65" s="27">
        <v>146.59299999999999</v>
      </c>
      <c r="E65" s="27">
        <v>45.31</v>
      </c>
      <c r="G65" s="27">
        <v>146.095</v>
      </c>
      <c r="H65" s="27">
        <v>44.649000000000001</v>
      </c>
      <c r="J65" s="25"/>
      <c r="K65" s="27">
        <v>47.728000000000002</v>
      </c>
      <c r="M65" s="27">
        <v>149.04400000000001</v>
      </c>
      <c r="N65" s="27">
        <v>49.262</v>
      </c>
      <c r="P65" s="52">
        <v>181.63</v>
      </c>
      <c r="Q65" s="53"/>
    </row>
    <row r="66" spans="1:17" x14ac:dyDescent="0.25">
      <c r="A66" s="26">
        <v>148.90899999999999</v>
      </c>
      <c r="B66" s="26">
        <v>48.073</v>
      </c>
      <c r="D66" s="27">
        <v>149.566</v>
      </c>
      <c r="E66" s="27">
        <v>45.029000000000003</v>
      </c>
      <c r="G66" s="27">
        <v>154.95699999999999</v>
      </c>
      <c r="H66" s="27">
        <v>49.427</v>
      </c>
      <c r="J66" s="25"/>
      <c r="K66" s="27">
        <v>43.131999999999998</v>
      </c>
      <c r="M66" s="27">
        <v>153.07499999999999</v>
      </c>
      <c r="N66" s="27">
        <v>47.209000000000003</v>
      </c>
      <c r="P66" s="27">
        <v>197.15100000000001</v>
      </c>
      <c r="Q66" s="54"/>
    </row>
    <row r="67" spans="1:17" x14ac:dyDescent="0.25">
      <c r="A67" s="26">
        <v>151.434</v>
      </c>
      <c r="B67" s="26">
        <v>47.999000000000002</v>
      </c>
      <c r="D67" s="27">
        <v>144.965</v>
      </c>
      <c r="E67" s="27">
        <v>45.984999999999999</v>
      </c>
      <c r="G67" s="27">
        <v>145.422</v>
      </c>
      <c r="H67" s="27">
        <v>46.47</v>
      </c>
      <c r="J67" s="25"/>
      <c r="K67" s="27">
        <v>47.057000000000002</v>
      </c>
      <c r="M67" s="27">
        <v>149.96899999999999</v>
      </c>
      <c r="N67" s="27">
        <v>48.411999999999999</v>
      </c>
    </row>
    <row r="68" spans="1:17" x14ac:dyDescent="0.25">
      <c r="A68" s="26">
        <v>155.67699999999999</v>
      </c>
      <c r="B68" s="26">
        <v>51.765000000000001</v>
      </c>
      <c r="D68" s="27">
        <v>149.65100000000001</v>
      </c>
      <c r="E68" s="27">
        <v>45.398000000000003</v>
      </c>
      <c r="G68" s="27">
        <v>147.06399999999999</v>
      </c>
      <c r="H68" s="27">
        <v>46.737000000000002</v>
      </c>
      <c r="J68" s="25"/>
      <c r="K68" s="27">
        <v>46.470999999999997</v>
      </c>
      <c r="M68" s="27">
        <v>153.69900000000001</v>
      </c>
      <c r="N68" s="27">
        <v>49.381</v>
      </c>
    </row>
    <row r="69" spans="1:17" x14ac:dyDescent="0.25">
      <c r="A69" s="26">
        <v>156.91900000000001</v>
      </c>
      <c r="B69" s="26">
        <v>48.1</v>
      </c>
      <c r="D69" s="27">
        <v>143.75399999999999</v>
      </c>
      <c r="E69" s="27">
        <v>46.121000000000002</v>
      </c>
      <c r="G69" s="27">
        <v>149.78800000000001</v>
      </c>
      <c r="H69" s="27">
        <v>47.625</v>
      </c>
      <c r="J69" s="25"/>
      <c r="K69" s="27">
        <v>47.034999999999997</v>
      </c>
      <c r="M69" s="27">
        <v>149.221</v>
      </c>
      <c r="N69" s="27">
        <v>47.304000000000002</v>
      </c>
    </row>
    <row r="70" spans="1:17" x14ac:dyDescent="0.25">
      <c r="A70" s="26">
        <v>151.97900000000001</v>
      </c>
      <c r="B70" s="26">
        <v>47.52</v>
      </c>
      <c r="D70" s="27">
        <v>143.50800000000001</v>
      </c>
      <c r="E70" s="27">
        <v>44.872</v>
      </c>
      <c r="G70" s="27">
        <v>154.33600000000001</v>
      </c>
      <c r="H70" s="27">
        <v>46.325000000000003</v>
      </c>
      <c r="J70" s="25"/>
      <c r="K70" s="27">
        <v>45.86</v>
      </c>
      <c r="M70" s="27">
        <v>155.00399999999999</v>
      </c>
      <c r="N70" s="27">
        <v>50.061999999999998</v>
      </c>
    </row>
    <row r="71" spans="1:17" x14ac:dyDescent="0.25">
      <c r="A71" s="26">
        <v>152.24199999999999</v>
      </c>
      <c r="B71" s="26">
        <v>46.582999999999998</v>
      </c>
      <c r="D71" s="27">
        <v>149.87200000000001</v>
      </c>
      <c r="E71" s="27">
        <v>46.408999999999999</v>
      </c>
      <c r="G71" s="27">
        <v>144.386</v>
      </c>
      <c r="H71" s="27">
        <v>47.832000000000001</v>
      </c>
      <c r="J71" s="25"/>
      <c r="K71" s="27">
        <v>43.92</v>
      </c>
      <c r="M71" s="27">
        <v>150.28</v>
      </c>
      <c r="N71" s="27">
        <v>46.540999999999997</v>
      </c>
    </row>
    <row r="72" spans="1:17" x14ac:dyDescent="0.25">
      <c r="A72" s="26">
        <v>148.28</v>
      </c>
      <c r="B72" s="26">
        <v>48.741999999999997</v>
      </c>
      <c r="D72" s="27">
        <v>145.41900000000001</v>
      </c>
      <c r="E72" s="27">
        <v>49.223999999999997</v>
      </c>
      <c r="G72" s="27">
        <v>154.08000000000001</v>
      </c>
      <c r="H72" s="27">
        <v>44.786000000000001</v>
      </c>
      <c r="J72" s="25"/>
      <c r="K72" s="27">
        <v>47.256</v>
      </c>
      <c r="M72" s="27">
        <v>147.74100000000001</v>
      </c>
      <c r="N72" s="27">
        <v>47.649000000000001</v>
      </c>
    </row>
    <row r="73" spans="1:17" x14ac:dyDescent="0.25">
      <c r="A73" s="26">
        <v>157.471</v>
      </c>
      <c r="B73" s="26">
        <v>46.052999999999997</v>
      </c>
      <c r="D73" s="27">
        <v>147.57400000000001</v>
      </c>
      <c r="E73" s="27">
        <v>46.381999999999998</v>
      </c>
      <c r="G73" s="27">
        <v>153.792</v>
      </c>
      <c r="H73" s="27">
        <v>45.832999999999998</v>
      </c>
      <c r="J73" s="25"/>
      <c r="K73" s="27">
        <v>51.369</v>
      </c>
      <c r="M73" s="27">
        <v>152.22900000000001</v>
      </c>
      <c r="N73" s="27">
        <v>47.984000000000002</v>
      </c>
    </row>
    <row r="74" spans="1:17" x14ac:dyDescent="0.25">
      <c r="A74" s="26">
        <v>151.75399999999999</v>
      </c>
      <c r="B74" s="26">
        <v>52.131</v>
      </c>
      <c r="D74" s="27">
        <v>155.25399999999999</v>
      </c>
      <c r="E74" s="27">
        <v>46.122999999999998</v>
      </c>
      <c r="G74" s="27">
        <v>147.88800000000001</v>
      </c>
      <c r="H74" s="27">
        <v>48.247</v>
      </c>
      <c r="J74" s="25"/>
      <c r="K74" s="27">
        <v>47.69</v>
      </c>
      <c r="M74" s="27">
        <v>152.02699999999999</v>
      </c>
      <c r="N74" s="27">
        <v>48.308</v>
      </c>
    </row>
    <row r="75" spans="1:17" x14ac:dyDescent="0.25">
      <c r="A75" s="26">
        <v>151.874</v>
      </c>
      <c r="B75" s="26">
        <v>44.917999999999999</v>
      </c>
      <c r="D75" s="27">
        <v>145.41200000000001</v>
      </c>
      <c r="E75" s="27">
        <v>47.448999999999998</v>
      </c>
      <c r="G75" s="27">
        <v>151.542</v>
      </c>
      <c r="H75" s="27">
        <v>45.106999999999999</v>
      </c>
      <c r="J75" s="25"/>
      <c r="K75" s="27">
        <v>45.100999999999999</v>
      </c>
      <c r="M75" s="27">
        <v>152.869</v>
      </c>
      <c r="N75" s="27">
        <v>49.41</v>
      </c>
    </row>
    <row r="76" spans="1:17" x14ac:dyDescent="0.25">
      <c r="A76" s="26">
        <v>157.42500000000001</v>
      </c>
      <c r="B76" s="26">
        <v>50.66</v>
      </c>
      <c r="D76" s="27">
        <v>152.369</v>
      </c>
      <c r="E76" s="27">
        <v>44.988999999999997</v>
      </c>
      <c r="G76" s="27">
        <v>149.5</v>
      </c>
      <c r="H76" s="27">
        <v>42.317999999999998</v>
      </c>
      <c r="J76" s="25"/>
      <c r="K76" s="27">
        <v>44.749000000000002</v>
      </c>
      <c r="M76" s="25"/>
      <c r="N76" s="27">
        <v>47.101999999999997</v>
      </c>
    </row>
    <row r="77" spans="1:17" x14ac:dyDescent="0.25">
      <c r="A77" s="26">
        <v>156.464</v>
      </c>
      <c r="B77" s="26">
        <v>45.377000000000002</v>
      </c>
      <c r="D77" s="27">
        <v>151.678</v>
      </c>
      <c r="E77" s="27">
        <v>46.731000000000002</v>
      </c>
      <c r="G77" s="27">
        <v>153.626</v>
      </c>
      <c r="H77" s="27">
        <v>48.253</v>
      </c>
      <c r="J77" s="25"/>
      <c r="K77" s="27">
        <v>47.795000000000002</v>
      </c>
      <c r="M77" s="25"/>
      <c r="N77" s="27">
        <v>47.860999999999997</v>
      </c>
    </row>
    <row r="78" spans="1:17" x14ac:dyDescent="0.25">
      <c r="A78" s="26">
        <v>153.09700000000001</v>
      </c>
      <c r="B78" s="26">
        <v>45.91</v>
      </c>
      <c r="D78" s="27">
        <v>143.53100000000001</v>
      </c>
      <c r="E78" s="27">
        <v>45.654000000000003</v>
      </c>
      <c r="G78" s="27">
        <v>152.65799999999999</v>
      </c>
      <c r="H78" s="27">
        <v>46.484999999999999</v>
      </c>
      <c r="J78" s="25"/>
      <c r="K78" s="27">
        <v>46.558</v>
      </c>
      <c r="M78" s="25"/>
      <c r="N78" s="27">
        <v>45.648000000000003</v>
      </c>
    </row>
    <row r="79" spans="1:17" x14ac:dyDescent="0.25">
      <c r="A79" s="26">
        <v>153.31200000000001</v>
      </c>
      <c r="B79" s="26">
        <v>45.473999999999997</v>
      </c>
      <c r="D79" s="27">
        <v>145.00399999999999</v>
      </c>
      <c r="E79" s="27">
        <v>42.383000000000003</v>
      </c>
      <c r="G79" s="27">
        <v>146.75899999999999</v>
      </c>
      <c r="H79" s="27">
        <v>45.255000000000003</v>
      </c>
      <c r="J79" s="25"/>
      <c r="K79" s="27">
        <v>42.956000000000003</v>
      </c>
      <c r="M79" s="25"/>
      <c r="N79" s="27">
        <v>47.468000000000004</v>
      </c>
    </row>
    <row r="80" spans="1:17" x14ac:dyDescent="0.25">
      <c r="A80" s="26">
        <v>158.197</v>
      </c>
      <c r="B80" s="26">
        <v>50.289000000000001</v>
      </c>
      <c r="D80" s="27">
        <v>144.96100000000001</v>
      </c>
      <c r="E80" s="27">
        <v>48.113</v>
      </c>
      <c r="G80" s="27">
        <v>146.39099999999999</v>
      </c>
      <c r="H80" s="27">
        <v>47.491999999999997</v>
      </c>
      <c r="J80" s="25"/>
      <c r="K80" s="27">
        <v>44.823</v>
      </c>
      <c r="M80" s="25"/>
      <c r="N80" s="27">
        <v>50.973999999999997</v>
      </c>
    </row>
    <row r="81" spans="1:14" x14ac:dyDescent="0.25">
      <c r="A81" s="26">
        <v>154.33500000000001</v>
      </c>
      <c r="B81" s="26">
        <v>48.203000000000003</v>
      </c>
      <c r="D81" s="27">
        <v>155.47300000000001</v>
      </c>
      <c r="E81" s="27">
        <v>48.555</v>
      </c>
      <c r="G81" s="27">
        <v>150.898</v>
      </c>
      <c r="H81" s="27">
        <v>48.712000000000003</v>
      </c>
      <c r="J81" s="25"/>
      <c r="K81" s="27">
        <v>46.23</v>
      </c>
      <c r="M81" s="25"/>
      <c r="N81" s="27">
        <v>48.726999999999997</v>
      </c>
    </row>
    <row r="82" spans="1:14" x14ac:dyDescent="0.25">
      <c r="A82" s="26">
        <v>149.67500000000001</v>
      </c>
      <c r="B82" s="26">
        <v>47.436</v>
      </c>
      <c r="D82" s="27">
        <v>143.56299999999999</v>
      </c>
      <c r="E82" s="27">
        <v>49.177</v>
      </c>
      <c r="G82" s="27">
        <v>149.858</v>
      </c>
      <c r="H82" s="27">
        <v>46.686</v>
      </c>
      <c r="J82" s="25"/>
      <c r="K82" s="27">
        <v>44.295999999999999</v>
      </c>
      <c r="M82" s="29"/>
      <c r="N82" s="29"/>
    </row>
    <row r="83" spans="1:14" x14ac:dyDescent="0.25">
      <c r="A83" s="26">
        <v>149.108</v>
      </c>
      <c r="B83" s="26">
        <v>48.636000000000003</v>
      </c>
      <c r="D83" s="27">
        <v>144.38900000000001</v>
      </c>
      <c r="E83" s="27">
        <v>48.268000000000001</v>
      </c>
      <c r="G83" s="27">
        <v>155.88800000000001</v>
      </c>
      <c r="H83" s="27">
        <v>47.750999999999998</v>
      </c>
      <c r="J83" s="29"/>
      <c r="K83" s="29"/>
      <c r="L83" s="29"/>
      <c r="M83" s="29"/>
      <c r="N83" s="29"/>
    </row>
    <row r="84" spans="1:14" x14ac:dyDescent="0.25">
      <c r="A84" s="26">
        <v>141.68899999999999</v>
      </c>
      <c r="B84" s="26">
        <v>48.017000000000003</v>
      </c>
      <c r="D84" s="27">
        <v>144.78299999999999</v>
      </c>
      <c r="E84" s="27">
        <v>48.826999999999998</v>
      </c>
      <c r="G84" s="27">
        <v>146.34200000000001</v>
      </c>
      <c r="H84" s="27">
        <v>45.85</v>
      </c>
      <c r="J84" s="29"/>
      <c r="K84" s="29"/>
      <c r="L84" s="29"/>
      <c r="M84" s="29"/>
      <c r="N84" s="29"/>
    </row>
    <row r="85" spans="1:14" x14ac:dyDescent="0.25">
      <c r="A85" s="26">
        <v>154.95699999999999</v>
      </c>
      <c r="B85" s="26">
        <v>48.896999999999998</v>
      </c>
      <c r="D85" s="27">
        <v>141.286</v>
      </c>
      <c r="E85" s="27">
        <v>49.094000000000001</v>
      </c>
      <c r="G85" s="27">
        <v>148.70699999999999</v>
      </c>
      <c r="H85" s="27">
        <v>46.878</v>
      </c>
      <c r="J85" s="29"/>
      <c r="K85" s="29"/>
      <c r="L85" s="29"/>
      <c r="M85" s="29"/>
      <c r="N85" s="29"/>
    </row>
    <row r="86" spans="1:14" x14ac:dyDescent="0.25">
      <c r="A86" s="26">
        <v>151.47499999999999</v>
      </c>
      <c r="B86" s="26">
        <v>50.566000000000003</v>
      </c>
      <c r="D86" s="27">
        <v>140.21799999999999</v>
      </c>
      <c r="E86" s="27">
        <v>45.945999999999998</v>
      </c>
      <c r="G86" s="27">
        <v>150</v>
      </c>
      <c r="H86" s="27">
        <v>48.216999999999999</v>
      </c>
      <c r="J86" s="29"/>
      <c r="K86" s="29"/>
      <c r="L86" s="29"/>
      <c r="M86" s="29"/>
      <c r="N86" s="29"/>
    </row>
    <row r="87" spans="1:14" x14ac:dyDescent="0.25">
      <c r="A87" s="26">
        <v>154.291</v>
      </c>
      <c r="B87" s="26">
        <v>47.616</v>
      </c>
      <c r="D87" s="27">
        <v>149.608</v>
      </c>
      <c r="E87" s="27">
        <v>44.947000000000003</v>
      </c>
      <c r="G87" s="27">
        <v>145.81</v>
      </c>
      <c r="H87" s="27">
        <v>47.832999999999998</v>
      </c>
      <c r="J87" s="29"/>
      <c r="K87" s="29"/>
      <c r="L87" s="29"/>
      <c r="M87" s="29"/>
      <c r="N87" s="29"/>
    </row>
    <row r="88" spans="1:14" x14ac:dyDescent="0.25">
      <c r="A88" s="26">
        <v>158.72200000000001</v>
      </c>
      <c r="B88" s="26">
        <v>49.994</v>
      </c>
      <c r="D88" s="27">
        <v>147.381</v>
      </c>
      <c r="E88" s="27">
        <v>44.219000000000001</v>
      </c>
      <c r="G88" s="27">
        <v>144.49100000000001</v>
      </c>
      <c r="H88" s="27">
        <v>45.481000000000002</v>
      </c>
      <c r="J88" s="29"/>
      <c r="K88" s="29"/>
      <c r="L88" s="29"/>
      <c r="M88" s="29"/>
      <c r="N88" s="29"/>
    </row>
    <row r="89" spans="1:14" x14ac:dyDescent="0.25">
      <c r="A89" s="26">
        <v>153.71199999999999</v>
      </c>
      <c r="B89" s="26">
        <v>50.466999999999999</v>
      </c>
      <c r="D89" s="27">
        <v>146.542</v>
      </c>
      <c r="E89" s="27">
        <v>43.942</v>
      </c>
      <c r="G89" s="27">
        <v>148.76400000000001</v>
      </c>
      <c r="H89" s="27">
        <v>43.500999999999998</v>
      </c>
      <c r="J89" s="29"/>
      <c r="K89" s="29"/>
      <c r="L89" s="29"/>
      <c r="M89" s="29"/>
      <c r="N89" s="29"/>
    </row>
    <row r="90" spans="1:14" x14ac:dyDescent="0.25">
      <c r="A90" s="26">
        <v>151.39400000000001</v>
      </c>
      <c r="B90" s="26">
        <v>47.640999999999998</v>
      </c>
      <c r="D90" s="27">
        <v>149.25800000000001</v>
      </c>
      <c r="E90" s="27">
        <v>46.054000000000002</v>
      </c>
      <c r="G90" s="27">
        <v>152.03800000000001</v>
      </c>
      <c r="H90" s="27">
        <v>45.011000000000003</v>
      </c>
      <c r="J90" s="29"/>
      <c r="K90" s="29"/>
      <c r="L90" s="29"/>
      <c r="M90" s="29"/>
      <c r="N90" s="29"/>
    </row>
    <row r="91" spans="1:14" x14ac:dyDescent="0.25">
      <c r="A91" s="26">
        <v>157.16499999999999</v>
      </c>
      <c r="B91" s="26">
        <v>46.69</v>
      </c>
      <c r="D91" s="27">
        <v>142.09899999999999</v>
      </c>
      <c r="E91" s="27">
        <v>42.828000000000003</v>
      </c>
      <c r="G91" s="27">
        <v>152.97499999999999</v>
      </c>
      <c r="H91" s="27">
        <v>45.814999999999998</v>
      </c>
      <c r="J91" s="29"/>
      <c r="K91" s="29"/>
      <c r="L91" s="29"/>
      <c r="M91" s="29"/>
      <c r="N91" s="29"/>
    </row>
    <row r="92" spans="1:14" x14ac:dyDescent="0.25">
      <c r="A92" s="26">
        <v>144.05600000000001</v>
      </c>
      <c r="B92" s="26">
        <v>48.648000000000003</v>
      </c>
      <c r="D92" s="27">
        <v>146.595</v>
      </c>
      <c r="E92" s="27">
        <v>46.284999999999997</v>
      </c>
      <c r="G92" s="27">
        <v>145.38200000000001</v>
      </c>
      <c r="H92" s="27">
        <v>48.555</v>
      </c>
      <c r="J92" s="29"/>
      <c r="K92" s="29"/>
      <c r="L92" s="29"/>
      <c r="M92" s="29"/>
      <c r="N92" s="29"/>
    </row>
    <row r="93" spans="1:14" x14ac:dyDescent="0.25">
      <c r="A93" s="26">
        <v>155.55000000000001</v>
      </c>
      <c r="B93" s="26">
        <v>47.009</v>
      </c>
      <c r="D93" s="27">
        <v>146.68299999999999</v>
      </c>
      <c r="E93" s="27">
        <v>47.116</v>
      </c>
      <c r="G93" s="27">
        <v>150.79</v>
      </c>
      <c r="H93" s="27">
        <v>50.682000000000002</v>
      </c>
      <c r="J93" s="29"/>
      <c r="K93" s="29"/>
      <c r="L93" s="29"/>
      <c r="M93" s="29"/>
      <c r="N93" s="29"/>
    </row>
    <row r="94" spans="1:14" x14ac:dyDescent="0.25">
      <c r="A94" s="26">
        <v>157.61600000000001</v>
      </c>
      <c r="B94" s="26">
        <v>45.192</v>
      </c>
      <c r="D94" s="27">
        <v>151.619</v>
      </c>
      <c r="E94" s="27">
        <v>46.235999999999997</v>
      </c>
      <c r="G94" s="27">
        <v>153.44300000000001</v>
      </c>
      <c r="H94" s="27">
        <v>47.579000000000001</v>
      </c>
      <c r="J94" s="29"/>
      <c r="K94" s="29"/>
      <c r="L94" s="29"/>
      <c r="M94" s="29"/>
      <c r="N94" s="29"/>
    </row>
    <row r="95" spans="1:14" x14ac:dyDescent="0.25">
      <c r="A95" s="26">
        <v>154.34899999999999</v>
      </c>
      <c r="B95" s="26">
        <v>49.024000000000001</v>
      </c>
      <c r="D95" s="27">
        <v>149.21700000000001</v>
      </c>
      <c r="E95" s="27">
        <v>47.439</v>
      </c>
      <c r="G95" s="27">
        <v>149.94800000000001</v>
      </c>
      <c r="H95" s="27">
        <v>49.7</v>
      </c>
      <c r="J95" s="29"/>
      <c r="K95" s="29"/>
      <c r="L95" s="29"/>
      <c r="M95" s="29"/>
      <c r="N95" s="29"/>
    </row>
    <row r="96" spans="1:14" x14ac:dyDescent="0.25">
      <c r="A96" s="26">
        <v>158.273</v>
      </c>
      <c r="B96" s="26">
        <v>47.875</v>
      </c>
      <c r="D96" s="27">
        <v>158.881</v>
      </c>
      <c r="E96" s="27">
        <v>46.250999999999998</v>
      </c>
      <c r="G96" s="27">
        <v>146.72300000000001</v>
      </c>
      <c r="H96" s="27">
        <v>47.134999999999998</v>
      </c>
      <c r="J96" s="29"/>
      <c r="K96" s="29"/>
      <c r="L96" s="29"/>
      <c r="M96" s="29"/>
      <c r="N96" s="29"/>
    </row>
    <row r="97" spans="1:14" x14ac:dyDescent="0.25">
      <c r="A97" s="26">
        <v>153.52500000000001</v>
      </c>
      <c r="B97" s="26">
        <v>50.344000000000001</v>
      </c>
      <c r="D97" s="27">
        <v>139.28399999999999</v>
      </c>
      <c r="E97" s="27">
        <v>48.210999999999999</v>
      </c>
      <c r="G97" s="27">
        <v>152.602</v>
      </c>
      <c r="H97" s="27">
        <v>45.042999999999999</v>
      </c>
      <c r="J97" s="29"/>
      <c r="K97" s="29"/>
      <c r="L97" s="29"/>
      <c r="M97" s="29"/>
      <c r="N97" s="29"/>
    </row>
    <row r="98" spans="1:14" x14ac:dyDescent="0.25">
      <c r="A98" s="26">
        <v>148.19900000000001</v>
      </c>
      <c r="B98" s="26">
        <v>44.74</v>
      </c>
      <c r="D98" s="27">
        <v>144.666</v>
      </c>
      <c r="E98" s="27">
        <v>50.725999999999999</v>
      </c>
      <c r="G98" s="27">
        <v>151.392</v>
      </c>
      <c r="H98" s="27">
        <v>49.920999999999999</v>
      </c>
      <c r="J98" s="29"/>
      <c r="K98" s="29"/>
      <c r="L98" s="29"/>
      <c r="M98" s="29"/>
      <c r="N98" s="29"/>
    </row>
    <row r="99" spans="1:14" x14ac:dyDescent="0.25">
      <c r="A99" s="26">
        <v>149.46100000000001</v>
      </c>
      <c r="B99" s="26">
        <v>50.09</v>
      </c>
      <c r="D99" s="25"/>
      <c r="E99" s="55">
        <v>48.98</v>
      </c>
      <c r="G99" s="27">
        <v>151.15100000000001</v>
      </c>
      <c r="H99" s="27">
        <v>48.12</v>
      </c>
      <c r="J99" s="29"/>
      <c r="K99" s="29"/>
      <c r="L99" s="29"/>
      <c r="M99" s="29"/>
      <c r="N99" s="29"/>
    </row>
    <row r="100" spans="1:14" x14ac:dyDescent="0.25">
      <c r="A100" s="26">
        <v>153.42500000000001</v>
      </c>
      <c r="B100" s="26">
        <v>47.238</v>
      </c>
      <c r="D100" s="25"/>
      <c r="E100" s="27">
        <v>45.786999999999999</v>
      </c>
      <c r="G100" s="27">
        <v>146.874</v>
      </c>
      <c r="H100" s="27">
        <v>45.076999999999998</v>
      </c>
      <c r="J100" s="29"/>
      <c r="K100" s="29"/>
      <c r="L100" s="29"/>
      <c r="M100" s="29"/>
      <c r="N100" s="29"/>
    </row>
    <row r="101" spans="1:14" x14ac:dyDescent="0.25">
      <c r="A101" s="26">
        <v>154.34899999999999</v>
      </c>
      <c r="B101" s="26">
        <v>51.347999999999999</v>
      </c>
      <c r="D101" s="25"/>
      <c r="E101" s="27">
        <v>47.052</v>
      </c>
      <c r="G101" s="27">
        <v>143.93100000000001</v>
      </c>
      <c r="H101" s="27">
        <v>47.207999999999998</v>
      </c>
      <c r="J101" s="29"/>
      <c r="K101" s="29"/>
      <c r="L101" s="29"/>
      <c r="M101" s="29"/>
      <c r="N101" s="29"/>
    </row>
    <row r="102" spans="1:14" x14ac:dyDescent="0.25">
      <c r="A102" s="26">
        <v>147.84399999999999</v>
      </c>
      <c r="B102" s="26">
        <v>49.994</v>
      </c>
      <c r="D102" s="25"/>
      <c r="E102" s="27">
        <v>44.725000000000001</v>
      </c>
      <c r="G102" s="27">
        <v>153.04900000000001</v>
      </c>
      <c r="H102" s="27">
        <v>49.392000000000003</v>
      </c>
      <c r="J102" s="29"/>
      <c r="K102" s="29"/>
      <c r="L102" s="29"/>
      <c r="M102" s="29"/>
      <c r="N102" s="29"/>
    </row>
    <row r="103" spans="1:14" x14ac:dyDescent="0.25">
      <c r="A103" s="26">
        <v>153.66900000000001</v>
      </c>
      <c r="B103" s="26">
        <v>51.966000000000001</v>
      </c>
      <c r="D103" s="25"/>
      <c r="E103" s="27">
        <v>46.183</v>
      </c>
      <c r="G103" s="27">
        <v>154.50899999999999</v>
      </c>
      <c r="H103" s="27">
        <v>47.311999999999998</v>
      </c>
      <c r="J103" s="29"/>
      <c r="K103" s="29"/>
      <c r="L103" s="29"/>
      <c r="M103" s="29"/>
      <c r="N103" s="29"/>
    </row>
    <row r="104" spans="1:14" x14ac:dyDescent="0.25">
      <c r="A104" s="26">
        <v>150.387</v>
      </c>
      <c r="B104" s="26">
        <v>45.98</v>
      </c>
      <c r="D104" s="25"/>
      <c r="E104" s="27">
        <v>45.67</v>
      </c>
      <c r="G104" s="27">
        <v>152.43799999999999</v>
      </c>
      <c r="H104" s="27">
        <v>51.036999999999999</v>
      </c>
      <c r="J104" s="29"/>
      <c r="K104" s="29"/>
      <c r="L104" s="29"/>
      <c r="M104" s="29"/>
      <c r="N104" s="29"/>
    </row>
    <row r="105" spans="1:14" x14ac:dyDescent="0.25">
      <c r="A105" s="26">
        <v>152.149</v>
      </c>
      <c r="B105" s="26">
        <v>49.024000000000001</v>
      </c>
      <c r="D105" s="25"/>
      <c r="E105" s="27">
        <v>43.107999999999997</v>
      </c>
      <c r="G105" s="27">
        <v>147.44399999999999</v>
      </c>
      <c r="H105" s="27">
        <v>52.207000000000001</v>
      </c>
      <c r="J105" s="29"/>
      <c r="K105" s="29"/>
      <c r="L105" s="29"/>
      <c r="M105" s="29"/>
      <c r="N105" s="29"/>
    </row>
    <row r="106" spans="1:14" x14ac:dyDescent="0.25">
      <c r="A106" s="26">
        <v>151.94200000000001</v>
      </c>
      <c r="B106" s="26">
        <v>48.93</v>
      </c>
      <c r="D106" s="25"/>
      <c r="E106" s="27">
        <v>45.326999999999998</v>
      </c>
      <c r="G106" s="27">
        <v>134.179</v>
      </c>
      <c r="H106" s="27">
        <v>45.148000000000003</v>
      </c>
      <c r="J106" s="29"/>
      <c r="K106" s="29"/>
      <c r="L106" s="29"/>
      <c r="M106" s="29"/>
      <c r="N106" s="29"/>
    </row>
    <row r="107" spans="1:14" x14ac:dyDescent="0.25">
      <c r="A107" s="26">
        <v>147.489</v>
      </c>
      <c r="B107" s="26">
        <v>46.143999999999998</v>
      </c>
      <c r="D107" s="25"/>
      <c r="E107" s="27">
        <v>48.554000000000002</v>
      </c>
      <c r="G107" s="27">
        <v>146.37299999999999</v>
      </c>
      <c r="H107" s="27">
        <v>46.512999999999998</v>
      </c>
      <c r="J107" s="29"/>
      <c r="K107" s="29"/>
      <c r="L107" s="29"/>
      <c r="M107" s="29"/>
      <c r="N107" s="29"/>
    </row>
    <row r="108" spans="1:14" x14ac:dyDescent="0.25">
      <c r="A108" s="26">
        <v>148.804</v>
      </c>
      <c r="B108" s="26">
        <v>51.298000000000002</v>
      </c>
      <c r="D108" s="25"/>
      <c r="E108" s="27">
        <v>46.134999999999998</v>
      </c>
      <c r="G108" s="27">
        <v>146.666</v>
      </c>
      <c r="H108" s="27">
        <v>45.878999999999998</v>
      </c>
      <c r="J108" s="29"/>
      <c r="K108" s="29"/>
      <c r="L108" s="29"/>
      <c r="M108" s="29"/>
      <c r="N108" s="29"/>
    </row>
    <row r="109" spans="1:14" x14ac:dyDescent="0.25">
      <c r="A109" s="26">
        <v>147.845</v>
      </c>
      <c r="B109" s="26">
        <v>45.74</v>
      </c>
      <c r="D109" s="25"/>
      <c r="E109" s="27">
        <v>47.286999999999999</v>
      </c>
      <c r="G109" s="27">
        <v>150.55000000000001</v>
      </c>
      <c r="H109" s="27">
        <v>47.109000000000002</v>
      </c>
      <c r="J109" s="29"/>
      <c r="K109" s="29"/>
      <c r="L109" s="29"/>
      <c r="M109" s="29"/>
      <c r="N109" s="29"/>
    </row>
    <row r="110" spans="1:14" x14ac:dyDescent="0.25">
      <c r="A110" s="26">
        <v>153.55600000000001</v>
      </c>
      <c r="B110" s="26">
        <v>45.543999999999997</v>
      </c>
      <c r="D110" s="25"/>
      <c r="E110" s="27">
        <v>46.375</v>
      </c>
      <c r="G110" s="27">
        <v>149.922</v>
      </c>
      <c r="H110" s="27">
        <v>48.859000000000002</v>
      </c>
      <c r="J110" s="29"/>
      <c r="K110" s="29"/>
      <c r="L110" s="29"/>
      <c r="M110" s="29"/>
      <c r="N110" s="29"/>
    </row>
    <row r="111" spans="1:14" x14ac:dyDescent="0.25">
      <c r="A111" s="26">
        <v>153.816</v>
      </c>
      <c r="B111" s="26">
        <v>45.866999999999997</v>
      </c>
      <c r="D111" s="25"/>
      <c r="E111" s="27">
        <v>45.915999999999997</v>
      </c>
      <c r="G111" s="27">
        <v>154.54</v>
      </c>
      <c r="H111" s="27">
        <v>44.478000000000002</v>
      </c>
      <c r="J111" s="29"/>
      <c r="K111" s="29"/>
      <c r="L111" s="29"/>
      <c r="M111" s="29"/>
      <c r="N111" s="29"/>
    </row>
    <row r="112" spans="1:14" x14ac:dyDescent="0.25">
      <c r="A112" s="26">
        <v>148.905</v>
      </c>
      <c r="B112" s="26">
        <v>44.881999999999998</v>
      </c>
      <c r="D112" s="25"/>
      <c r="E112" s="27">
        <v>45.981000000000002</v>
      </c>
      <c r="G112" s="27">
        <v>148.054</v>
      </c>
      <c r="H112" s="27">
        <v>46.817999999999998</v>
      </c>
      <c r="J112" s="29"/>
      <c r="K112" s="29"/>
      <c r="L112" s="29"/>
      <c r="M112" s="29"/>
      <c r="N112" s="29"/>
    </row>
    <row r="113" spans="1:14" x14ac:dyDescent="0.25">
      <c r="A113" s="26">
        <v>144.554</v>
      </c>
      <c r="B113" s="26">
        <v>47.335000000000001</v>
      </c>
      <c r="D113" s="25"/>
      <c r="E113" s="27">
        <v>48.53</v>
      </c>
      <c r="G113" s="27">
        <v>155.922</v>
      </c>
      <c r="H113" s="27">
        <v>45.697000000000003</v>
      </c>
      <c r="J113" s="29"/>
      <c r="K113" s="29"/>
      <c r="L113" s="29"/>
      <c r="M113" s="29"/>
      <c r="N113" s="29"/>
    </row>
    <row r="114" spans="1:14" x14ac:dyDescent="0.25">
      <c r="A114" s="26">
        <v>151.31399999999999</v>
      </c>
      <c r="B114" s="26">
        <v>47.009</v>
      </c>
      <c r="D114" s="25"/>
      <c r="E114" s="27">
        <v>49.402000000000001</v>
      </c>
      <c r="G114" s="27">
        <v>150.32499999999999</v>
      </c>
      <c r="H114" s="27">
        <v>48.155000000000001</v>
      </c>
      <c r="J114" s="29"/>
      <c r="K114" s="29"/>
      <c r="L114" s="29"/>
      <c r="M114" s="29"/>
      <c r="N114" s="29"/>
    </row>
    <row r="115" spans="1:14" x14ac:dyDescent="0.25">
      <c r="A115" s="26">
        <v>148.26900000000001</v>
      </c>
      <c r="B115" s="26">
        <v>41.761000000000003</v>
      </c>
      <c r="D115" s="25"/>
      <c r="E115" s="27">
        <v>45.09</v>
      </c>
      <c r="G115" s="25"/>
      <c r="H115" s="27">
        <v>45.582000000000001</v>
      </c>
      <c r="J115" s="29"/>
      <c r="K115" s="29"/>
      <c r="L115" s="29"/>
      <c r="M115" s="29"/>
      <c r="N115" s="29"/>
    </row>
    <row r="116" spans="1:14" x14ac:dyDescent="0.25">
      <c r="A116" s="26">
        <v>153.185</v>
      </c>
      <c r="B116" s="26">
        <v>46.122</v>
      </c>
      <c r="D116" s="25"/>
      <c r="E116" s="27">
        <v>45.3</v>
      </c>
      <c r="G116" s="25"/>
      <c r="H116" s="27">
        <v>47.942999999999998</v>
      </c>
      <c r="J116" s="29"/>
      <c r="K116" s="29"/>
      <c r="L116" s="29"/>
      <c r="M116" s="29"/>
      <c r="N116" s="29"/>
    </row>
    <row r="117" spans="1:14" x14ac:dyDescent="0.25">
      <c r="A117" s="26">
        <v>155.065</v>
      </c>
      <c r="B117" s="26">
        <v>47.540999999999997</v>
      </c>
      <c r="D117" s="25"/>
      <c r="E117" s="27">
        <v>47.173999999999999</v>
      </c>
      <c r="G117" s="25"/>
      <c r="H117" s="27">
        <v>52.442</v>
      </c>
      <c r="J117" s="29"/>
      <c r="K117" s="29"/>
      <c r="L117" s="29"/>
      <c r="M117" s="29"/>
      <c r="N117" s="29"/>
    </row>
    <row r="118" spans="1:14" x14ac:dyDescent="0.25">
      <c r="A118" s="26">
        <v>147.56399999999999</v>
      </c>
      <c r="B118" s="26">
        <v>51.515000000000001</v>
      </c>
      <c r="D118" s="25"/>
      <c r="E118" s="27">
        <v>47.002000000000002</v>
      </c>
      <c r="G118" s="25"/>
      <c r="H118" s="27">
        <v>47.161999999999999</v>
      </c>
      <c r="J118" s="29"/>
      <c r="K118" s="29"/>
      <c r="L118" s="29"/>
      <c r="M118" s="29"/>
      <c r="N118" s="29"/>
    </row>
    <row r="119" spans="1:14" x14ac:dyDescent="0.25">
      <c r="A119" s="26">
        <v>148.37</v>
      </c>
      <c r="B119" s="26">
        <v>48.003999999999998</v>
      </c>
      <c r="D119" s="25"/>
      <c r="E119" s="27">
        <v>48.103999999999999</v>
      </c>
      <c r="G119" s="25"/>
      <c r="H119" s="27">
        <v>45.218000000000004</v>
      </c>
      <c r="J119" s="29"/>
      <c r="K119" s="29"/>
      <c r="L119" s="29"/>
      <c r="M119" s="29"/>
      <c r="N119" s="29"/>
    </row>
    <row r="120" spans="1:14" x14ac:dyDescent="0.25">
      <c r="A120" s="26">
        <v>149.19800000000001</v>
      </c>
      <c r="B120" s="26">
        <v>47.741999999999997</v>
      </c>
      <c r="D120" s="25"/>
      <c r="E120" s="27">
        <v>46.545000000000002</v>
      </c>
      <c r="G120" s="25"/>
      <c r="H120" s="27">
        <v>48.497</v>
      </c>
      <c r="J120" s="29"/>
      <c r="K120" s="29"/>
      <c r="L120" s="29"/>
      <c r="M120" s="29"/>
      <c r="N120" s="29"/>
    </row>
    <row r="121" spans="1:14" x14ac:dyDescent="0.25">
      <c r="A121" s="26">
        <v>154.172</v>
      </c>
      <c r="B121" s="26">
        <v>46.945</v>
      </c>
      <c r="D121" s="25"/>
      <c r="E121" s="27">
        <v>47.14</v>
      </c>
      <c r="G121" s="25"/>
      <c r="H121" s="27">
        <v>47.146999999999998</v>
      </c>
      <c r="J121" s="29"/>
      <c r="K121" s="29"/>
      <c r="L121" s="29"/>
      <c r="M121" s="29"/>
      <c r="N121" s="29"/>
    </row>
    <row r="122" spans="1:14" x14ac:dyDescent="0.25">
      <c r="A122" s="26">
        <v>145.10300000000001</v>
      </c>
      <c r="B122" s="26">
        <v>49.412999999999997</v>
      </c>
      <c r="D122" s="25"/>
      <c r="E122" s="27">
        <v>47.654000000000003</v>
      </c>
      <c r="G122" s="25"/>
      <c r="H122" s="27">
        <v>46.811</v>
      </c>
      <c r="J122" s="29"/>
      <c r="K122" s="29"/>
      <c r="L122" s="29"/>
      <c r="M122" s="29"/>
      <c r="N122" s="29"/>
    </row>
    <row r="123" spans="1:14" x14ac:dyDescent="0.25">
      <c r="A123" s="26">
        <v>146.678</v>
      </c>
      <c r="B123" s="26">
        <v>47.451999999999998</v>
      </c>
      <c r="D123" s="25"/>
      <c r="E123" s="27">
        <v>42.73</v>
      </c>
      <c r="G123" s="25"/>
      <c r="H123" s="27">
        <v>48.982999999999997</v>
      </c>
      <c r="J123" s="29"/>
      <c r="K123" s="29"/>
      <c r="L123" s="29"/>
      <c r="M123" s="29"/>
      <c r="N123" s="29"/>
    </row>
    <row r="124" spans="1:14" x14ac:dyDescent="0.25">
      <c r="A124" s="26">
        <v>148.20599999999999</v>
      </c>
      <c r="B124" s="26">
        <v>49.262999999999998</v>
      </c>
      <c r="D124" s="25"/>
      <c r="E124" s="27">
        <v>45.396000000000001</v>
      </c>
      <c r="G124" s="25"/>
      <c r="H124" s="27">
        <v>47.396000000000001</v>
      </c>
      <c r="J124" s="29"/>
      <c r="K124" s="29"/>
      <c r="L124" s="29"/>
      <c r="M124" s="29"/>
      <c r="N124" s="29"/>
    </row>
    <row r="125" spans="1:14" x14ac:dyDescent="0.25">
      <c r="A125" s="26">
        <v>153.43700000000001</v>
      </c>
      <c r="B125" s="26">
        <v>46.377000000000002</v>
      </c>
      <c r="D125" s="25"/>
      <c r="E125" s="27">
        <v>42.841000000000001</v>
      </c>
      <c r="G125" s="25"/>
      <c r="H125" s="27">
        <v>44.944000000000003</v>
      </c>
      <c r="J125" s="29"/>
      <c r="K125" s="29"/>
      <c r="L125" s="29"/>
      <c r="M125" s="29"/>
      <c r="N125" s="29"/>
    </row>
    <row r="126" spans="1:14" x14ac:dyDescent="0.25">
      <c r="A126" s="26">
        <v>152.69900000000001</v>
      </c>
      <c r="B126" s="26">
        <v>43.762</v>
      </c>
      <c r="D126" s="25"/>
      <c r="E126" s="27">
        <v>44.405000000000001</v>
      </c>
      <c r="G126" s="25"/>
      <c r="H126" s="27">
        <v>48.533999999999999</v>
      </c>
      <c r="J126" s="29"/>
      <c r="K126" s="29"/>
      <c r="L126" s="29"/>
      <c r="M126" s="29"/>
      <c r="N126" s="29"/>
    </row>
    <row r="127" spans="1:14" x14ac:dyDescent="0.25">
      <c r="A127" s="26">
        <v>155.36099999999999</v>
      </c>
      <c r="B127" s="26">
        <v>45.862000000000002</v>
      </c>
      <c r="D127" s="25"/>
      <c r="E127" s="27">
        <v>45.911999999999999</v>
      </c>
      <c r="G127" s="25"/>
      <c r="H127" s="27">
        <v>45.816000000000003</v>
      </c>
      <c r="J127" s="29"/>
      <c r="K127" s="29"/>
      <c r="L127" s="29"/>
      <c r="M127" s="29"/>
      <c r="N127" s="29"/>
    </row>
    <row r="128" spans="1:14" x14ac:dyDescent="0.25">
      <c r="A128" s="26">
        <v>145.946</v>
      </c>
      <c r="B128" s="26">
        <v>45.726999999999997</v>
      </c>
      <c r="D128" s="25"/>
      <c r="E128" s="27">
        <v>45.326999999999998</v>
      </c>
      <c r="G128" s="25"/>
      <c r="H128" s="27">
        <v>45.973999999999997</v>
      </c>
      <c r="J128" s="29"/>
      <c r="K128" s="29"/>
      <c r="L128" s="29"/>
      <c r="M128" s="29"/>
      <c r="N128" s="29"/>
    </row>
    <row r="129" spans="1:14" x14ac:dyDescent="0.25">
      <c r="A129" s="26">
        <v>147.21</v>
      </c>
      <c r="B129" s="26">
        <v>49.154000000000003</v>
      </c>
      <c r="D129" s="25"/>
      <c r="E129" s="27">
        <v>48.756999999999998</v>
      </c>
      <c r="G129" s="25"/>
      <c r="H129" s="27">
        <v>49.045000000000002</v>
      </c>
      <c r="J129" s="29"/>
      <c r="K129" s="29"/>
      <c r="L129" s="29"/>
      <c r="M129" s="29"/>
      <c r="N129" s="29"/>
    </row>
    <row r="130" spans="1:14" x14ac:dyDescent="0.25">
      <c r="A130" s="26">
        <v>149.87100000000001</v>
      </c>
      <c r="B130" s="26">
        <v>47.25</v>
      </c>
      <c r="D130" s="25"/>
      <c r="E130" s="27">
        <v>50.412999999999997</v>
      </c>
      <c r="G130" s="25"/>
      <c r="H130" s="27">
        <v>46.932000000000002</v>
      </c>
      <c r="J130" s="29"/>
      <c r="K130" s="29"/>
      <c r="L130" s="29"/>
      <c r="M130" s="29"/>
      <c r="N130" s="29"/>
    </row>
    <row r="131" spans="1:14" x14ac:dyDescent="0.25">
      <c r="A131" s="26">
        <v>150.64599999999999</v>
      </c>
      <c r="B131" s="26">
        <v>48.5</v>
      </c>
      <c r="D131" s="25"/>
      <c r="E131" s="27">
        <v>40.764000000000003</v>
      </c>
      <c r="G131" s="25"/>
      <c r="H131" s="27">
        <v>47.42</v>
      </c>
      <c r="J131" s="29"/>
      <c r="K131" s="29"/>
      <c r="L131" s="29"/>
      <c r="M131" s="29"/>
      <c r="N131" s="29"/>
    </row>
    <row r="132" spans="1:14" x14ac:dyDescent="0.25">
      <c r="A132" s="26">
        <v>154.66</v>
      </c>
      <c r="B132" s="26">
        <v>48.203000000000003</v>
      </c>
      <c r="D132" s="25"/>
      <c r="E132" s="27">
        <v>44.671999999999997</v>
      </c>
      <c r="G132" s="25"/>
      <c r="H132" s="27">
        <v>49.344999999999999</v>
      </c>
      <c r="J132" s="29"/>
      <c r="K132" s="29"/>
      <c r="L132" s="29"/>
      <c r="M132" s="29"/>
      <c r="N132" s="29"/>
    </row>
    <row r="133" spans="1:14" x14ac:dyDescent="0.25">
      <c r="A133" s="26">
        <v>153.72999999999999</v>
      </c>
      <c r="B133" s="26">
        <v>48.697000000000003</v>
      </c>
      <c r="D133" s="25"/>
      <c r="E133" s="27">
        <v>43.323</v>
      </c>
      <c r="G133" s="25"/>
      <c r="H133" s="27">
        <v>46.744999999999997</v>
      </c>
      <c r="J133" s="29"/>
      <c r="K133" s="29"/>
      <c r="L133" s="29"/>
      <c r="M133" s="29"/>
      <c r="N133" s="29"/>
    </row>
    <row r="134" spans="1:14" x14ac:dyDescent="0.25">
      <c r="A134" s="26">
        <v>144.37299999999999</v>
      </c>
      <c r="B134" s="26">
        <v>47.009</v>
      </c>
      <c r="D134" s="25"/>
      <c r="E134" s="27">
        <v>48.688000000000002</v>
      </c>
      <c r="G134" s="25"/>
      <c r="H134" s="27">
        <v>48.838999999999999</v>
      </c>
      <c r="J134" s="29"/>
      <c r="K134" s="29"/>
      <c r="L134" s="29"/>
      <c r="M134" s="29"/>
      <c r="N134" s="29"/>
    </row>
    <row r="135" spans="1:14" x14ac:dyDescent="0.25">
      <c r="A135" s="26">
        <v>150.82499999999999</v>
      </c>
      <c r="B135" s="26">
        <v>49.445999999999998</v>
      </c>
      <c r="D135" s="25"/>
      <c r="E135" s="27">
        <v>44.654000000000003</v>
      </c>
      <c r="G135" s="25"/>
      <c r="H135" s="27">
        <v>44.499000000000002</v>
      </c>
      <c r="J135" s="29"/>
      <c r="K135" s="29"/>
      <c r="L135" s="29"/>
      <c r="M135" s="29"/>
      <c r="N135" s="29"/>
    </row>
    <row r="136" spans="1:14" x14ac:dyDescent="0.25">
      <c r="A136" s="26">
        <v>116.895</v>
      </c>
      <c r="B136" s="26">
        <v>46.831000000000003</v>
      </c>
      <c r="D136" s="25"/>
      <c r="E136" s="27">
        <v>49.701000000000001</v>
      </c>
      <c r="G136" s="25"/>
      <c r="H136" s="27">
        <v>49.442</v>
      </c>
      <c r="J136" s="29"/>
      <c r="K136" s="29"/>
      <c r="L136" s="29"/>
      <c r="M136" s="29"/>
      <c r="N136" s="29"/>
    </row>
    <row r="137" spans="1:14" x14ac:dyDescent="0.25">
      <c r="A137" s="26">
        <v>150.21799999999999</v>
      </c>
      <c r="B137" s="26">
        <v>44.643000000000001</v>
      </c>
      <c r="G137" s="25"/>
      <c r="H137" s="27">
        <v>47.273000000000003</v>
      </c>
      <c r="J137" s="29"/>
      <c r="K137" s="29"/>
      <c r="L137" s="29"/>
      <c r="M137" s="29"/>
      <c r="N137" s="29"/>
    </row>
    <row r="138" spans="1:14" x14ac:dyDescent="0.25">
      <c r="A138" s="26">
        <v>149.50299999999999</v>
      </c>
      <c r="B138" s="26">
        <v>48.548999999999999</v>
      </c>
      <c r="G138" s="25"/>
      <c r="H138" s="27">
        <v>48.509</v>
      </c>
      <c r="J138" s="29"/>
      <c r="K138" s="29"/>
      <c r="L138" s="29"/>
      <c r="M138" s="29"/>
      <c r="N138" s="29"/>
    </row>
    <row r="139" spans="1:14" x14ac:dyDescent="0.25">
      <c r="A139" s="26">
        <v>148.244</v>
      </c>
      <c r="B139" s="26">
        <v>44.267000000000003</v>
      </c>
      <c r="G139" s="25"/>
      <c r="H139" s="27">
        <v>45.831000000000003</v>
      </c>
      <c r="J139" s="29"/>
      <c r="K139" s="29"/>
      <c r="L139" s="29"/>
      <c r="M139" s="29"/>
      <c r="N139" s="29"/>
    </row>
    <row r="140" spans="1:14" x14ac:dyDescent="0.25">
      <c r="A140" s="26">
        <v>151.66800000000001</v>
      </c>
      <c r="B140" s="26">
        <v>46.585000000000001</v>
      </c>
      <c r="G140" s="25"/>
      <c r="H140" s="27">
        <v>46.847000000000001</v>
      </c>
      <c r="J140" s="29"/>
      <c r="K140" s="29"/>
      <c r="L140" s="29"/>
      <c r="M140" s="29"/>
      <c r="N140" s="29"/>
    </row>
    <row r="141" spans="1:14" x14ac:dyDescent="0.25">
      <c r="A141" s="26">
        <v>146.49600000000001</v>
      </c>
      <c r="B141" s="26">
        <v>45.997</v>
      </c>
      <c r="G141" s="25"/>
      <c r="H141" s="27">
        <v>45.957000000000001</v>
      </c>
      <c r="J141" s="29"/>
      <c r="K141" s="29"/>
      <c r="L141" s="29"/>
      <c r="M141" s="29"/>
      <c r="N141" s="29"/>
    </row>
    <row r="142" spans="1:14" x14ac:dyDescent="0.25">
      <c r="A142" s="26">
        <v>153.09</v>
      </c>
      <c r="B142" s="26">
        <v>43.552</v>
      </c>
      <c r="G142" s="25"/>
      <c r="H142" s="27">
        <v>50.91</v>
      </c>
      <c r="J142" s="29"/>
      <c r="K142" s="29"/>
      <c r="L142" s="29"/>
      <c r="M142" s="29"/>
      <c r="N142" s="29"/>
    </row>
    <row r="143" spans="1:14" x14ac:dyDescent="0.25">
      <c r="A143" s="26">
        <v>152.55000000000001</v>
      </c>
      <c r="B143" s="26">
        <v>48.124000000000002</v>
      </c>
      <c r="G143" s="25"/>
      <c r="H143" s="27">
        <v>51.438000000000002</v>
      </c>
      <c r="J143" s="29"/>
      <c r="K143" s="29"/>
      <c r="L143" s="29"/>
      <c r="M143" s="29"/>
      <c r="N143" s="29"/>
    </row>
    <row r="144" spans="1:14" x14ac:dyDescent="0.25">
      <c r="A144" s="26">
        <v>147.322</v>
      </c>
      <c r="B144" s="26">
        <v>47.268000000000001</v>
      </c>
      <c r="G144" s="25"/>
      <c r="H144" s="27">
        <v>47.353000000000002</v>
      </c>
      <c r="J144" s="29"/>
      <c r="K144" s="29"/>
      <c r="L144" s="29"/>
      <c r="M144" s="29"/>
      <c r="N144" s="29"/>
    </row>
    <row r="145" spans="1:14" x14ac:dyDescent="0.25">
      <c r="A145" s="26">
        <v>156.755</v>
      </c>
      <c r="B145" s="26">
        <v>46.405000000000001</v>
      </c>
      <c r="G145" s="25"/>
      <c r="H145" s="27">
        <v>49.901000000000003</v>
      </c>
      <c r="J145" s="29"/>
      <c r="K145" s="29"/>
      <c r="L145" s="29"/>
      <c r="M145" s="29"/>
      <c r="N145" s="29"/>
    </row>
    <row r="146" spans="1:14" x14ac:dyDescent="0.25">
      <c r="A146" s="26">
        <v>145.98400000000001</v>
      </c>
      <c r="B146" s="26">
        <v>41.561</v>
      </c>
      <c r="G146" s="25"/>
      <c r="H146" s="27">
        <v>48.677</v>
      </c>
      <c r="J146" s="29"/>
      <c r="K146" s="29"/>
      <c r="L146" s="29"/>
      <c r="M146" s="29"/>
      <c r="N146" s="29"/>
    </row>
    <row r="147" spans="1:14" x14ac:dyDescent="0.25">
      <c r="A147" s="26">
        <v>155.15899999999999</v>
      </c>
      <c r="B147" s="26">
        <v>46.6</v>
      </c>
      <c r="G147" s="25"/>
      <c r="H147" s="27">
        <v>49.417999999999999</v>
      </c>
      <c r="J147" s="29"/>
      <c r="K147" s="29"/>
      <c r="L147" s="29"/>
      <c r="M147" s="29"/>
      <c r="N147" s="29"/>
    </row>
    <row r="148" spans="1:14" x14ac:dyDescent="0.25">
      <c r="A148" s="26">
        <v>150.25299999999999</v>
      </c>
      <c r="B148" s="26">
        <v>48.412999999999997</v>
      </c>
      <c r="G148" s="25"/>
      <c r="H148" s="27">
        <v>46.438000000000002</v>
      </c>
      <c r="J148" s="29"/>
      <c r="K148" s="29"/>
      <c r="L148" s="29"/>
      <c r="M148" s="29"/>
      <c r="N148" s="29"/>
    </row>
    <row r="149" spans="1:14" x14ac:dyDescent="0.25">
      <c r="A149" s="26">
        <v>152.24700000000001</v>
      </c>
      <c r="B149" s="26">
        <v>45.563000000000002</v>
      </c>
      <c r="G149" s="25"/>
      <c r="H149" s="27">
        <v>47.786999999999999</v>
      </c>
      <c r="J149" s="29"/>
      <c r="K149" s="29"/>
      <c r="L149" s="29"/>
      <c r="M149" s="29"/>
      <c r="N149" s="29"/>
    </row>
    <row r="150" spans="1:14" x14ac:dyDescent="0.25">
      <c r="A150" s="26">
        <v>154.483</v>
      </c>
      <c r="B150" s="26">
        <v>50.837000000000003</v>
      </c>
      <c r="G150" s="25"/>
      <c r="H150" s="27">
        <v>48.631999999999998</v>
      </c>
      <c r="J150" s="29"/>
      <c r="K150" s="29"/>
      <c r="L150" s="29"/>
      <c r="M150" s="29"/>
      <c r="N150" s="29"/>
    </row>
    <row r="151" spans="1:14" x14ac:dyDescent="0.25">
      <c r="A151" s="26">
        <v>152.29400000000001</v>
      </c>
      <c r="B151" s="26">
        <v>46.058</v>
      </c>
      <c r="G151" s="25"/>
      <c r="H151" s="27">
        <v>50.613</v>
      </c>
      <c r="J151" s="29"/>
      <c r="K151" s="29"/>
      <c r="L151" s="29"/>
      <c r="M151" s="29"/>
      <c r="N151" s="29"/>
    </row>
    <row r="152" spans="1:14" x14ac:dyDescent="0.25">
      <c r="A152" s="26">
        <v>155.08199999999999</v>
      </c>
      <c r="B152" s="26">
        <v>46.793999999999997</v>
      </c>
      <c r="G152" s="25"/>
      <c r="H152" s="27">
        <v>48.311999999999998</v>
      </c>
      <c r="J152" s="29"/>
      <c r="K152" s="29"/>
      <c r="L152" s="29"/>
      <c r="M152" s="29"/>
      <c r="N152" s="29"/>
    </row>
    <row r="153" spans="1:14" x14ac:dyDescent="0.25">
      <c r="A153" s="26">
        <v>151.35400000000001</v>
      </c>
      <c r="B153" s="26">
        <v>50.103999999999999</v>
      </c>
      <c r="G153" s="25"/>
      <c r="H153" s="27">
        <v>46.527999999999999</v>
      </c>
      <c r="J153" s="29"/>
      <c r="K153" s="29"/>
      <c r="L153" s="29"/>
      <c r="M153" s="29"/>
      <c r="N153" s="29"/>
    </row>
    <row r="154" spans="1:14" x14ac:dyDescent="0.25">
      <c r="A154" s="26">
        <v>154.499</v>
      </c>
      <c r="B154" s="26">
        <v>50.222000000000001</v>
      </c>
      <c r="G154" s="25"/>
      <c r="H154" s="27">
        <v>47.063000000000002</v>
      </c>
      <c r="J154" s="29"/>
      <c r="K154" s="29"/>
      <c r="L154" s="29"/>
      <c r="M154" s="29"/>
      <c r="N154" s="29"/>
    </row>
    <row r="155" spans="1:14" x14ac:dyDescent="0.25">
      <c r="A155" s="26">
        <v>159.27099999999999</v>
      </c>
      <c r="B155" s="26">
        <v>43.95</v>
      </c>
      <c r="G155" s="25"/>
      <c r="H155" s="27">
        <v>47.753999999999998</v>
      </c>
      <c r="J155" s="29"/>
      <c r="K155" s="29"/>
      <c r="L155" s="29"/>
      <c r="M155" s="29"/>
      <c r="N155" s="29"/>
    </row>
    <row r="156" spans="1:14" x14ac:dyDescent="0.25">
      <c r="A156" s="26">
        <v>151.80600000000001</v>
      </c>
      <c r="B156" s="26">
        <v>45.631999999999998</v>
      </c>
      <c r="G156" s="25"/>
      <c r="H156" s="27">
        <v>48.73</v>
      </c>
      <c r="J156" s="29"/>
      <c r="K156" s="29"/>
      <c r="L156" s="29"/>
      <c r="M156" s="29"/>
      <c r="N156" s="29"/>
    </row>
    <row r="157" spans="1:14" x14ac:dyDescent="0.25">
      <c r="A157" s="26">
        <v>149.077</v>
      </c>
      <c r="B157" s="26">
        <v>46.118000000000002</v>
      </c>
      <c r="G157" s="25"/>
      <c r="H157" s="27">
        <v>49.485999999999997</v>
      </c>
      <c r="J157" s="29"/>
      <c r="K157" s="29"/>
      <c r="L157" s="29"/>
      <c r="M157" s="29"/>
      <c r="N157" s="29"/>
    </row>
    <row r="158" spans="1:14" x14ac:dyDescent="0.25">
      <c r="A158" s="26">
        <v>156.989</v>
      </c>
      <c r="B158" s="26">
        <v>45.378999999999998</v>
      </c>
      <c r="G158" s="25"/>
      <c r="H158" s="27">
        <v>45.707999999999998</v>
      </c>
      <c r="J158" s="29"/>
      <c r="K158" s="29"/>
      <c r="L158" s="29"/>
      <c r="M158" s="29"/>
      <c r="N158" s="29"/>
    </row>
    <row r="159" spans="1:14" x14ac:dyDescent="0.25">
      <c r="A159" s="26">
        <v>146.59299999999999</v>
      </c>
      <c r="B159" s="26">
        <v>44.564999999999998</v>
      </c>
      <c r="G159" s="25"/>
      <c r="H159" s="27">
        <v>47.082999999999998</v>
      </c>
      <c r="J159" s="29"/>
      <c r="K159" s="29"/>
      <c r="L159" s="29"/>
      <c r="M159" s="29"/>
      <c r="N159" s="29"/>
    </row>
    <row r="160" spans="1:14" x14ac:dyDescent="0.25">
      <c r="A160" s="26">
        <v>156.28700000000001</v>
      </c>
      <c r="B160" s="26">
        <v>48.463000000000001</v>
      </c>
      <c r="G160" s="25"/>
      <c r="H160" s="27">
        <v>45.954000000000001</v>
      </c>
      <c r="J160" s="29"/>
      <c r="K160" s="29"/>
      <c r="L160" s="29"/>
      <c r="M160" s="29"/>
      <c r="N160" s="29"/>
    </row>
    <row r="161" spans="1:14" x14ac:dyDescent="0.25">
      <c r="A161" s="26">
        <v>148.79499999999999</v>
      </c>
      <c r="B161" s="26">
        <v>47.097999999999999</v>
      </c>
      <c r="G161" s="25"/>
      <c r="H161" s="27">
        <v>45.1</v>
      </c>
      <c r="J161" s="29"/>
      <c r="K161" s="29"/>
      <c r="L161" s="29"/>
      <c r="M161" s="29"/>
      <c r="N161" s="29"/>
    </row>
    <row r="162" spans="1:14" x14ac:dyDescent="0.25">
      <c r="A162" s="26">
        <v>150.31200000000001</v>
      </c>
      <c r="B162" s="26">
        <v>47.276000000000003</v>
      </c>
      <c r="G162" s="25"/>
      <c r="H162" s="27">
        <v>45.040999999999997</v>
      </c>
      <c r="J162" s="29"/>
      <c r="K162" s="29"/>
      <c r="L162" s="29"/>
      <c r="M162" s="29"/>
      <c r="N162" s="29"/>
    </row>
    <row r="163" spans="1:14" x14ac:dyDescent="0.25">
      <c r="A163" s="26">
        <v>146.881</v>
      </c>
      <c r="B163" s="26">
        <v>50.055999999999997</v>
      </c>
      <c r="G163" s="25"/>
      <c r="H163" s="27">
        <v>50.192999999999998</v>
      </c>
      <c r="J163" s="29"/>
      <c r="K163" s="29"/>
      <c r="L163" s="29"/>
      <c r="M163" s="29"/>
      <c r="N163" s="29"/>
    </row>
    <row r="164" spans="1:14" x14ac:dyDescent="0.25">
      <c r="A164" s="26">
        <v>148.45500000000001</v>
      </c>
      <c r="B164" s="26">
        <v>45.162999999999997</v>
      </c>
      <c r="J164" s="29"/>
      <c r="K164" s="29"/>
      <c r="L164" s="29"/>
      <c r="M164" s="29"/>
      <c r="N164" s="29"/>
    </row>
    <row r="165" spans="1:14" x14ac:dyDescent="0.25">
      <c r="A165" s="26">
        <v>153.18799999999999</v>
      </c>
      <c r="B165" s="26">
        <v>45.162999999999997</v>
      </c>
      <c r="J165" s="29"/>
      <c r="K165" s="29"/>
      <c r="L165" s="29"/>
      <c r="M165" s="29"/>
      <c r="N165" s="29"/>
    </row>
    <row r="166" spans="1:14" x14ac:dyDescent="0.25">
      <c r="A166" s="26">
        <v>155.113</v>
      </c>
      <c r="B166" s="26">
        <v>47.363999999999997</v>
      </c>
      <c r="J166" s="29"/>
      <c r="K166" s="29"/>
      <c r="L166" s="29"/>
      <c r="M166" s="29"/>
      <c r="N166" s="29"/>
    </row>
    <row r="167" spans="1:14" x14ac:dyDescent="0.25">
      <c r="A167" s="26">
        <v>153.72200000000001</v>
      </c>
      <c r="B167" s="26">
        <v>45.951999999999998</v>
      </c>
      <c r="J167" s="29"/>
      <c r="K167" s="29"/>
      <c r="L167" s="29"/>
      <c r="M167" s="29"/>
      <c r="N167" s="29"/>
    </row>
    <row r="168" spans="1:14" x14ac:dyDescent="0.25">
      <c r="A168" s="26">
        <v>151.32900000000001</v>
      </c>
      <c r="B168" s="26">
        <v>45.777000000000001</v>
      </c>
      <c r="J168" s="29"/>
      <c r="K168" s="29"/>
      <c r="L168" s="29"/>
      <c r="M168" s="29"/>
      <c r="N168" s="29"/>
    </row>
    <row r="169" spans="1:14" x14ac:dyDescent="0.25">
      <c r="A169" s="26">
        <v>153.28100000000001</v>
      </c>
      <c r="B169" s="26">
        <v>44.634999999999998</v>
      </c>
      <c r="J169" s="29"/>
      <c r="K169" s="29"/>
      <c r="L169" s="29"/>
      <c r="M169" s="29"/>
      <c r="N169" s="29"/>
    </row>
    <row r="170" spans="1:14" x14ac:dyDescent="0.25">
      <c r="A170" s="26">
        <v>148.244</v>
      </c>
      <c r="B170" s="26">
        <v>45.685000000000002</v>
      </c>
      <c r="J170" s="29"/>
      <c r="K170" s="29"/>
      <c r="L170" s="29"/>
      <c r="M170" s="29"/>
      <c r="N170" s="29"/>
    </row>
    <row r="171" spans="1:14" x14ac:dyDescent="0.25">
      <c r="A171" s="26">
        <v>149.30500000000001</v>
      </c>
      <c r="B171" s="26">
        <v>46.62</v>
      </c>
      <c r="J171" s="29"/>
      <c r="K171" s="29"/>
      <c r="L171" s="29"/>
      <c r="M171" s="29"/>
      <c r="N171" s="29"/>
    </row>
    <row r="172" spans="1:14" x14ac:dyDescent="0.25">
      <c r="A172" s="26">
        <v>153.79</v>
      </c>
      <c r="B172" s="26">
        <v>44.743000000000002</v>
      </c>
      <c r="J172" s="29"/>
      <c r="K172" s="29"/>
      <c r="L172" s="29"/>
      <c r="M172" s="29"/>
      <c r="N172" s="29"/>
    </row>
    <row r="173" spans="1:14" x14ac:dyDescent="0.25">
      <c r="A173" s="26">
        <v>150.31200000000001</v>
      </c>
      <c r="B173" s="26">
        <v>48.15</v>
      </c>
      <c r="J173" s="29"/>
      <c r="K173" s="29"/>
      <c r="L173" s="29"/>
      <c r="M173" s="29"/>
      <c r="N173" s="29"/>
    </row>
    <row r="174" spans="1:14" x14ac:dyDescent="0.25">
      <c r="A174" s="26">
        <v>151.53299999999999</v>
      </c>
      <c r="B174" s="26">
        <v>46.177999999999997</v>
      </c>
      <c r="J174" s="29"/>
      <c r="K174" s="29"/>
      <c r="L174" s="29"/>
      <c r="M174" s="29"/>
      <c r="N174" s="29"/>
    </row>
    <row r="175" spans="1:14" x14ac:dyDescent="0.25">
      <c r="A175" s="26">
        <v>147.64599999999999</v>
      </c>
      <c r="B175" s="26">
        <v>47.258000000000003</v>
      </c>
      <c r="J175" s="29"/>
      <c r="K175" s="29"/>
      <c r="L175" s="29"/>
      <c r="M175" s="29"/>
      <c r="N175" s="29"/>
    </row>
    <row r="176" spans="1:14" x14ac:dyDescent="0.25">
      <c r="A176" s="26">
        <v>156.601</v>
      </c>
      <c r="B176" s="26">
        <v>48.110999999999997</v>
      </c>
      <c r="J176" s="29"/>
      <c r="K176" s="29"/>
      <c r="L176" s="29"/>
      <c r="M176" s="29"/>
      <c r="N176" s="29"/>
    </row>
    <row r="177" spans="1:14" x14ac:dyDescent="0.25">
      <c r="A177" s="26">
        <v>149.68600000000001</v>
      </c>
      <c r="B177" s="26">
        <v>45.393000000000001</v>
      </c>
      <c r="J177" s="29"/>
      <c r="K177" s="29"/>
      <c r="L177" s="29"/>
      <c r="M177" s="29"/>
      <c r="N177" s="29"/>
    </row>
    <row r="178" spans="1:14" x14ac:dyDescent="0.25">
      <c r="A178" s="26">
        <v>152.88900000000001</v>
      </c>
      <c r="B178" s="26">
        <v>46.143000000000001</v>
      </c>
      <c r="J178" s="29"/>
      <c r="K178" s="29"/>
      <c r="L178" s="29"/>
      <c r="M178" s="29"/>
      <c r="N178" s="29"/>
    </row>
    <row r="179" spans="1:14" x14ac:dyDescent="0.25">
      <c r="A179" s="26">
        <v>149.792</v>
      </c>
      <c r="B179" s="26">
        <v>52.177</v>
      </c>
      <c r="J179" s="29"/>
      <c r="K179" s="29"/>
      <c r="L179" s="29"/>
      <c r="M179" s="29"/>
      <c r="N179" s="29"/>
    </row>
    <row r="180" spans="1:14" x14ac:dyDescent="0.25">
      <c r="A180" s="26">
        <v>150.64599999999999</v>
      </c>
      <c r="B180" s="26">
        <v>46.601999999999997</v>
      </c>
      <c r="J180" s="29"/>
      <c r="K180" s="29"/>
      <c r="L180" s="29"/>
      <c r="M180" s="29"/>
      <c r="N180" s="29"/>
    </row>
    <row r="181" spans="1:14" x14ac:dyDescent="0.25">
      <c r="A181" s="26">
        <v>154.08099999999999</v>
      </c>
      <c r="B181" s="26">
        <v>45.081000000000003</v>
      </c>
      <c r="J181" s="29"/>
      <c r="K181" s="29"/>
      <c r="L181" s="29"/>
      <c r="M181" s="29"/>
      <c r="N181" s="29"/>
    </row>
    <row r="182" spans="1:14" x14ac:dyDescent="0.25">
      <c r="A182" s="26">
        <v>154.16900000000001</v>
      </c>
      <c r="B182" s="26">
        <v>45.146999999999998</v>
      </c>
      <c r="J182" s="29"/>
      <c r="K182" s="29"/>
      <c r="L182" s="29"/>
      <c r="M182" s="29"/>
      <c r="N182" s="29"/>
    </row>
    <row r="183" spans="1:14" x14ac:dyDescent="0.25">
      <c r="A183" s="26">
        <v>146.57499999999999</v>
      </c>
      <c r="B183" s="26">
        <v>46.195999999999998</v>
      </c>
      <c r="J183" s="29"/>
      <c r="K183" s="29"/>
      <c r="L183" s="29"/>
      <c r="M183" s="29"/>
      <c r="N183" s="29"/>
    </row>
    <row r="184" spans="1:14" x14ac:dyDescent="0.25">
      <c r="A184" s="26">
        <v>150.959</v>
      </c>
      <c r="B184" s="26">
        <v>47.369</v>
      </c>
      <c r="J184" s="29"/>
      <c r="K184" s="29"/>
      <c r="L184" s="29"/>
      <c r="M184" s="29"/>
      <c r="N184" s="29"/>
    </row>
    <row r="185" spans="1:14" x14ac:dyDescent="0.25">
      <c r="A185" s="26">
        <v>148.72200000000001</v>
      </c>
      <c r="B185" s="26">
        <v>47.77</v>
      </c>
      <c r="J185" s="29"/>
      <c r="K185" s="29"/>
      <c r="L185" s="29"/>
      <c r="M185" s="29"/>
      <c r="N185" s="29"/>
    </row>
    <row r="186" spans="1:14" x14ac:dyDescent="0.25">
      <c r="A186" s="26">
        <v>155.40100000000001</v>
      </c>
      <c r="B186" s="26">
        <v>49.92</v>
      </c>
      <c r="J186" s="29"/>
      <c r="K186" s="29"/>
      <c r="L186" s="29"/>
      <c r="M186" s="29"/>
      <c r="N186" s="29"/>
    </row>
    <row r="187" spans="1:14" x14ac:dyDescent="0.25">
      <c r="A187" s="26">
        <v>157.035</v>
      </c>
      <c r="B187" s="26">
        <v>49.828000000000003</v>
      </c>
      <c r="J187" s="29"/>
      <c r="K187" s="29"/>
      <c r="L187" s="29"/>
      <c r="M187" s="29"/>
      <c r="N187" s="29"/>
    </row>
    <row r="188" spans="1:14" x14ac:dyDescent="0.25">
      <c r="A188" s="26">
        <v>149.00700000000001</v>
      </c>
      <c r="B188" s="26">
        <v>48.265000000000001</v>
      </c>
      <c r="J188" s="29"/>
      <c r="K188" s="29"/>
      <c r="L188" s="29"/>
      <c r="M188" s="29"/>
      <c r="N188" s="29"/>
    </row>
    <row r="189" spans="1:14" x14ac:dyDescent="0.25">
      <c r="A189" s="26">
        <v>147.69</v>
      </c>
      <c r="B189" s="26">
        <v>47.895000000000003</v>
      </c>
      <c r="J189" s="29"/>
      <c r="K189" s="29"/>
      <c r="L189" s="29"/>
      <c r="M189" s="29"/>
      <c r="N189" s="29"/>
    </row>
    <row r="190" spans="1:14" x14ac:dyDescent="0.25">
      <c r="A190" s="26">
        <v>150.792</v>
      </c>
      <c r="B190" s="26">
        <v>50.820999999999998</v>
      </c>
      <c r="J190" s="29"/>
      <c r="K190" s="29"/>
      <c r="L190" s="29"/>
      <c r="M190" s="29"/>
      <c r="N190" s="29"/>
    </row>
    <row r="191" spans="1:14" x14ac:dyDescent="0.25">
      <c r="A191" s="26">
        <v>151.70099999999999</v>
      </c>
      <c r="B191" s="26">
        <v>46.945</v>
      </c>
      <c r="J191" s="29"/>
      <c r="K191" s="29"/>
      <c r="L191" s="29"/>
      <c r="M191" s="29"/>
      <c r="N191" s="29"/>
    </row>
    <row r="192" spans="1:14" x14ac:dyDescent="0.25">
      <c r="A192" s="26">
        <v>148.85599999999999</v>
      </c>
      <c r="B192" s="26">
        <v>49.054000000000002</v>
      </c>
      <c r="J192" s="29"/>
      <c r="K192" s="29"/>
      <c r="L192" s="29"/>
      <c r="M192" s="29"/>
      <c r="N192" s="29"/>
    </row>
    <row r="193" spans="1:14" x14ac:dyDescent="0.25">
      <c r="A193" s="26">
        <v>155.21299999999999</v>
      </c>
      <c r="B193" s="26">
        <v>46.470999999999997</v>
      </c>
      <c r="J193" s="29"/>
      <c r="K193" s="29"/>
      <c r="L193" s="29"/>
      <c r="M193" s="29"/>
      <c r="N193" s="29"/>
    </row>
    <row r="194" spans="1:14" x14ac:dyDescent="0.25">
      <c r="A194" s="26">
        <v>150.15</v>
      </c>
      <c r="B194" s="26">
        <v>46.868000000000002</v>
      </c>
      <c r="J194" s="29"/>
      <c r="K194" s="29"/>
      <c r="L194" s="29"/>
      <c r="M194" s="29"/>
      <c r="N194" s="29"/>
    </row>
    <row r="195" spans="1:14" x14ac:dyDescent="0.25">
      <c r="A195" s="26">
        <v>148.16300000000001</v>
      </c>
      <c r="B195" s="26">
        <v>46.350999999999999</v>
      </c>
      <c r="J195" s="29"/>
      <c r="K195" s="29"/>
      <c r="L195" s="29"/>
      <c r="M195" s="29"/>
      <c r="N195" s="29"/>
    </row>
    <row r="196" spans="1:14" x14ac:dyDescent="0.25">
      <c r="A196" s="26">
        <v>144.124</v>
      </c>
      <c r="B196" s="26">
        <v>50.600999999999999</v>
      </c>
      <c r="J196" s="29"/>
      <c r="K196" s="29"/>
      <c r="L196" s="29"/>
      <c r="M196" s="29"/>
      <c r="N196" s="29"/>
    </row>
    <row r="197" spans="1:14" x14ac:dyDescent="0.25">
      <c r="A197" s="26">
        <v>151.96799999999999</v>
      </c>
      <c r="B197" s="26">
        <v>46.506999999999998</v>
      </c>
      <c r="J197" s="29"/>
      <c r="K197" s="29"/>
      <c r="L197" s="29"/>
      <c r="M197" s="29"/>
      <c r="N197" s="29"/>
    </row>
    <row r="198" spans="1:14" x14ac:dyDescent="0.25">
      <c r="A198" s="26">
        <v>145.864</v>
      </c>
      <c r="B198" s="26">
        <v>48.15</v>
      </c>
      <c r="J198" s="29"/>
      <c r="K198" s="29"/>
      <c r="L198" s="29"/>
      <c r="M198" s="29"/>
      <c r="N198" s="29"/>
    </row>
    <row r="199" spans="1:14" x14ac:dyDescent="0.25">
      <c r="A199" s="26">
        <v>151.38800000000001</v>
      </c>
      <c r="B199" s="26">
        <v>43.787999999999997</v>
      </c>
      <c r="J199" s="29"/>
      <c r="K199" s="29"/>
      <c r="L199" s="29"/>
      <c r="M199" s="29"/>
      <c r="N199" s="29"/>
    </row>
    <row r="200" spans="1:14" x14ac:dyDescent="0.25">
      <c r="A200" s="26">
        <v>148.30500000000001</v>
      </c>
      <c r="B200" s="26">
        <v>48.988999999999997</v>
      </c>
      <c r="J200" s="29"/>
      <c r="K200" s="29"/>
      <c r="L200" s="29"/>
      <c r="M200" s="29"/>
      <c r="N200" s="29"/>
    </row>
    <row r="201" spans="1:14" x14ac:dyDescent="0.25">
      <c r="A201" s="26">
        <v>151.95599999999999</v>
      </c>
      <c r="B201" s="26">
        <v>50.926000000000002</v>
      </c>
      <c r="J201" s="29"/>
      <c r="K201" s="29"/>
      <c r="L201" s="29"/>
      <c r="M201" s="29"/>
      <c r="N201" s="29"/>
    </row>
    <row r="202" spans="1:14" x14ac:dyDescent="0.25">
      <c r="A202" s="26">
        <v>151.70099999999999</v>
      </c>
      <c r="B202" s="26">
        <v>45.731000000000002</v>
      </c>
      <c r="J202" s="29"/>
      <c r="K202" s="29"/>
      <c r="L202" s="29"/>
      <c r="M202" s="29"/>
      <c r="N202" s="29"/>
    </row>
    <row r="203" spans="1:14" x14ac:dyDescent="0.25">
      <c r="A203" s="26">
        <v>149.61799999999999</v>
      </c>
      <c r="B203" s="26">
        <v>48.493000000000002</v>
      </c>
      <c r="J203" s="29"/>
      <c r="K203" s="29"/>
      <c r="L203" s="29"/>
      <c r="M203" s="29"/>
      <c r="N203" s="29"/>
    </row>
    <row r="204" spans="1:14" x14ac:dyDescent="0.25">
      <c r="A204" s="26">
        <v>154.488</v>
      </c>
      <c r="B204" s="26">
        <v>45.841000000000001</v>
      </c>
      <c r="J204" s="29"/>
      <c r="K204" s="29"/>
      <c r="L204" s="29"/>
      <c r="M204" s="29"/>
      <c r="N204" s="29"/>
    </row>
    <row r="205" spans="1:14" x14ac:dyDescent="0.25">
      <c r="A205" s="26">
        <v>153.93199999999999</v>
      </c>
      <c r="B205" s="26">
        <v>45.878</v>
      </c>
      <c r="J205" s="29"/>
      <c r="K205" s="29"/>
      <c r="L205" s="29"/>
      <c r="M205" s="29"/>
      <c r="N205" s="29"/>
    </row>
    <row r="206" spans="1:14" x14ac:dyDescent="0.25">
      <c r="A206" s="26">
        <v>150.964</v>
      </c>
      <c r="B206" s="26">
        <v>46.402000000000001</v>
      </c>
      <c r="J206" s="29"/>
      <c r="K206" s="29"/>
      <c r="L206" s="29"/>
      <c r="M206" s="29"/>
      <c r="N206" s="29"/>
    </row>
    <row r="207" spans="1:14" x14ac:dyDescent="0.25">
      <c r="A207" s="26">
        <v>152.935</v>
      </c>
      <c r="B207" s="26">
        <v>48.164000000000001</v>
      </c>
      <c r="J207" s="29"/>
      <c r="K207" s="29"/>
      <c r="L207" s="29"/>
      <c r="M207" s="29"/>
      <c r="N207" s="29"/>
    </row>
    <row r="208" spans="1:14" x14ac:dyDescent="0.25">
      <c r="A208" s="26">
        <v>150.47300000000001</v>
      </c>
      <c r="B208" s="26">
        <v>47.347000000000001</v>
      </c>
      <c r="J208" s="29"/>
      <c r="K208" s="29"/>
      <c r="L208" s="29"/>
      <c r="M208" s="29"/>
      <c r="N208" s="29"/>
    </row>
    <row r="209" spans="1:14" x14ac:dyDescent="0.25">
      <c r="A209" s="26">
        <v>144.91300000000001</v>
      </c>
      <c r="B209" s="26">
        <v>50.216999999999999</v>
      </c>
      <c r="J209" s="29"/>
      <c r="K209" s="29"/>
      <c r="L209" s="29"/>
      <c r="M209" s="29"/>
      <c r="N209" s="29"/>
    </row>
    <row r="210" spans="1:14" x14ac:dyDescent="0.25">
      <c r="A210" s="26">
        <v>154.887</v>
      </c>
      <c r="B210" s="26">
        <v>49.999000000000002</v>
      </c>
      <c r="J210" s="29"/>
      <c r="K210" s="29"/>
      <c r="L210" s="29"/>
      <c r="M210" s="29"/>
      <c r="N210" s="29"/>
    </row>
    <row r="211" spans="1:14" x14ac:dyDescent="0.25">
      <c r="A211" s="26">
        <v>156.261</v>
      </c>
      <c r="B211" s="26">
        <v>45.146000000000001</v>
      </c>
      <c r="J211" s="29"/>
      <c r="K211" s="29"/>
      <c r="L211" s="29"/>
      <c r="M211" s="29"/>
      <c r="N211" s="29"/>
    </row>
    <row r="212" spans="1:14" x14ac:dyDescent="0.25">
      <c r="A212" s="26">
        <v>157.27000000000001</v>
      </c>
      <c r="B212" s="26">
        <v>43.597000000000001</v>
      </c>
      <c r="J212" s="29"/>
      <c r="K212" s="29"/>
      <c r="L212" s="29"/>
    </row>
    <row r="213" spans="1:14" x14ac:dyDescent="0.25">
      <c r="A213" s="26">
        <v>155.39099999999999</v>
      </c>
      <c r="B213" s="26">
        <v>47.131999999999998</v>
      </c>
      <c r="J213" s="29"/>
      <c r="K213" s="29"/>
      <c r="L213" s="29"/>
    </row>
    <row r="214" spans="1:14" x14ac:dyDescent="0.25">
      <c r="A214" s="26">
        <v>155.39599999999999</v>
      </c>
      <c r="B214" s="26">
        <v>46.350999999999999</v>
      </c>
      <c r="J214" s="29"/>
      <c r="K214" s="29"/>
      <c r="L214" s="29"/>
    </row>
    <row r="215" spans="1:14" x14ac:dyDescent="0.25">
      <c r="A215" s="26">
        <v>148.72800000000001</v>
      </c>
      <c r="B215" s="26">
        <v>48.265000000000001</v>
      </c>
      <c r="J215" s="29"/>
      <c r="K215" s="29"/>
      <c r="L215" s="29"/>
    </row>
    <row r="216" spans="1:14" x14ac:dyDescent="0.25">
      <c r="A216" s="26">
        <v>157.80199999999999</v>
      </c>
      <c r="B216" s="26">
        <v>44.881999999999998</v>
      </c>
      <c r="J216" s="56"/>
      <c r="K216" s="56"/>
    </row>
    <row r="217" spans="1:14" x14ac:dyDescent="0.25">
      <c r="A217" s="26">
        <v>153.20699999999999</v>
      </c>
      <c r="B217" s="26">
        <v>48.1</v>
      </c>
      <c r="J217" s="56"/>
      <c r="K217" s="56"/>
    </row>
    <row r="218" spans="1:14" x14ac:dyDescent="0.25">
      <c r="A218" s="26">
        <v>152.685</v>
      </c>
      <c r="B218" s="26">
        <v>52.887</v>
      </c>
      <c r="J218" s="56"/>
      <c r="K218" s="56"/>
    </row>
    <row r="219" spans="1:14" x14ac:dyDescent="0.25">
      <c r="A219" s="26">
        <v>149.82</v>
      </c>
      <c r="B219" s="26">
        <v>44.210999999999999</v>
      </c>
      <c r="J219" s="56"/>
      <c r="K219" s="56"/>
    </row>
    <row r="220" spans="1:14" x14ac:dyDescent="0.25">
      <c r="A220" s="26">
        <v>149.28299999999999</v>
      </c>
      <c r="B220" s="26">
        <v>46.625999999999998</v>
      </c>
      <c r="J220" s="56"/>
      <c r="K220" s="56"/>
    </row>
    <row r="221" spans="1:14" x14ac:dyDescent="0.25">
      <c r="A221" s="26">
        <v>149.309</v>
      </c>
      <c r="B221" s="26">
        <v>47.820999999999998</v>
      </c>
      <c r="J221" s="56"/>
      <c r="K221" s="56"/>
    </row>
    <row r="222" spans="1:14" x14ac:dyDescent="0.25">
      <c r="A222" s="26">
        <v>154.38499999999999</v>
      </c>
      <c r="B222" s="26">
        <v>48.582000000000001</v>
      </c>
      <c r="J222" s="56"/>
      <c r="K222" s="56"/>
    </row>
    <row r="223" spans="1:14" x14ac:dyDescent="0.25">
      <c r="A223" s="28"/>
      <c r="B223" s="26">
        <v>47.52</v>
      </c>
      <c r="J223" s="56"/>
      <c r="K223" s="56"/>
    </row>
    <row r="224" spans="1:14" x14ac:dyDescent="0.25">
      <c r="A224" s="28"/>
      <c r="B224" s="26">
        <v>46.466999999999999</v>
      </c>
      <c r="J224" s="56"/>
      <c r="K224" s="56"/>
    </row>
    <row r="225" spans="1:11" x14ac:dyDescent="0.25">
      <c r="A225" s="28"/>
      <c r="B225" s="26">
        <v>48.265000000000001</v>
      </c>
      <c r="J225" s="56"/>
      <c r="K225" s="56"/>
    </row>
    <row r="226" spans="1:11" x14ac:dyDescent="0.25">
      <c r="A226" s="28"/>
      <c r="B226" s="26">
        <v>45.213999999999999</v>
      </c>
      <c r="J226" s="56"/>
      <c r="K226" s="56"/>
    </row>
    <row r="227" spans="1:11" x14ac:dyDescent="0.25">
      <c r="A227" s="28"/>
      <c r="B227" s="26">
        <v>47.741999999999997</v>
      </c>
      <c r="J227" s="56"/>
      <c r="K227" s="56"/>
    </row>
    <row r="228" spans="1:11" x14ac:dyDescent="0.25">
      <c r="A228" s="28"/>
      <c r="B228" s="26">
        <v>49.622</v>
      </c>
      <c r="J228" s="56"/>
      <c r="K228" s="56"/>
    </row>
    <row r="229" spans="1:11" x14ac:dyDescent="0.25">
      <c r="A229" s="28"/>
      <c r="B229" s="26">
        <v>47.536999999999999</v>
      </c>
      <c r="J229" s="56"/>
      <c r="K229" s="56"/>
    </row>
    <row r="230" spans="1:11" x14ac:dyDescent="0.25">
      <c r="A230" s="28"/>
      <c r="B230" s="26">
        <v>48.329000000000001</v>
      </c>
      <c r="J230" s="56"/>
      <c r="K230" s="56"/>
    </row>
    <row r="231" spans="1:11" x14ac:dyDescent="0.25">
      <c r="A231" s="28"/>
      <c r="B231" s="26">
        <v>47.283000000000001</v>
      </c>
      <c r="J231" s="56"/>
      <c r="K231" s="56"/>
    </row>
    <row r="232" spans="1:11" x14ac:dyDescent="0.25">
      <c r="A232" s="28"/>
      <c r="B232" s="26">
        <v>44.790999999999997</v>
      </c>
      <c r="J232" s="56"/>
      <c r="K232" s="56"/>
    </row>
    <row r="233" spans="1:11" x14ac:dyDescent="0.25">
      <c r="A233" s="28"/>
      <c r="B233" s="26">
        <v>48.991999999999997</v>
      </c>
      <c r="J233" s="56"/>
      <c r="K233" s="56"/>
    </row>
    <row r="234" spans="1:11" x14ac:dyDescent="0.25">
      <c r="A234" s="28"/>
      <c r="B234" s="26">
        <v>44.16</v>
      </c>
      <c r="J234" s="56"/>
      <c r="K234" s="56"/>
    </row>
    <row r="235" spans="1:11" x14ac:dyDescent="0.25">
      <c r="A235" s="28"/>
      <c r="B235" s="26">
        <v>48.627000000000002</v>
      </c>
      <c r="J235" s="56"/>
      <c r="K235" s="56"/>
    </row>
    <row r="236" spans="1:11" x14ac:dyDescent="0.25">
      <c r="A236" s="28"/>
      <c r="B236" s="26">
        <v>47.798999999999999</v>
      </c>
      <c r="J236" s="56"/>
      <c r="K236" s="56"/>
    </row>
    <row r="237" spans="1:11" x14ac:dyDescent="0.25">
      <c r="A237" s="28"/>
      <c r="B237" s="26">
        <v>47.673999999999999</v>
      </c>
      <c r="J237" s="56"/>
      <c r="K237" s="56"/>
    </row>
    <row r="238" spans="1:11" x14ac:dyDescent="0.25">
      <c r="A238" s="28"/>
      <c r="B238" s="26">
        <v>45.186999999999998</v>
      </c>
      <c r="J238" s="56"/>
      <c r="K238" s="56"/>
    </row>
    <row r="239" spans="1:11" x14ac:dyDescent="0.25">
      <c r="A239" s="28"/>
      <c r="B239" s="26">
        <v>52.048999999999999</v>
      </c>
      <c r="J239" s="56"/>
      <c r="K239" s="56"/>
    </row>
    <row r="240" spans="1:11" x14ac:dyDescent="0.25">
      <c r="A240" s="28"/>
      <c r="B240" s="26">
        <v>49.366</v>
      </c>
      <c r="J240" s="56"/>
      <c r="K240" s="56"/>
    </row>
    <row r="241" spans="1:11" x14ac:dyDescent="0.25">
      <c r="A241" s="28"/>
      <c r="B241" s="26">
        <v>46.749000000000002</v>
      </c>
      <c r="J241" s="56"/>
      <c r="K241" s="56"/>
    </row>
    <row r="242" spans="1:11" x14ac:dyDescent="0.25">
      <c r="A242" s="28"/>
      <c r="B242" s="26">
        <v>47.136000000000003</v>
      </c>
      <c r="J242" s="56"/>
      <c r="K242" s="56"/>
    </row>
    <row r="243" spans="1:11" x14ac:dyDescent="0.25">
      <c r="A243" s="28"/>
      <c r="B243" s="26">
        <v>45.915999999999997</v>
      </c>
      <c r="J243" s="56"/>
      <c r="K243" s="56"/>
    </row>
    <row r="244" spans="1:11" x14ac:dyDescent="0.25">
      <c r="A244" s="28"/>
      <c r="B244" s="26">
        <v>46.698</v>
      </c>
      <c r="J244" s="56"/>
      <c r="K244" s="56"/>
    </row>
    <row r="245" spans="1:11" x14ac:dyDescent="0.25">
      <c r="A245" s="28"/>
      <c r="B245" s="26">
        <v>45.186999999999998</v>
      </c>
      <c r="J245" s="56"/>
      <c r="K245" s="56"/>
    </row>
    <row r="246" spans="1:11" x14ac:dyDescent="0.25">
      <c r="A246" s="28"/>
      <c r="B246" s="26">
        <v>46.408999999999999</v>
      </c>
      <c r="J246" s="56"/>
      <c r="K246" s="56"/>
    </row>
    <row r="247" spans="1:11" x14ac:dyDescent="0.25">
      <c r="A247" s="28"/>
      <c r="B247" s="26">
        <v>45.457000000000001</v>
      </c>
      <c r="J247" s="56"/>
      <c r="K247" s="56"/>
    </row>
    <row r="248" spans="1:11" x14ac:dyDescent="0.25">
      <c r="A248" s="28"/>
      <c r="B248" s="26">
        <v>48.942999999999998</v>
      </c>
      <c r="J248" s="56"/>
      <c r="K248" s="56"/>
    </row>
    <row r="249" spans="1:11" x14ac:dyDescent="0.25">
      <c r="A249" s="28"/>
      <c r="B249" s="26">
        <v>45.634999999999998</v>
      </c>
      <c r="J249" s="56"/>
      <c r="K249" s="56"/>
    </row>
    <row r="250" spans="1:11" x14ac:dyDescent="0.25">
      <c r="A250" s="28"/>
      <c r="B250" s="26">
        <v>49.338000000000001</v>
      </c>
      <c r="J250" s="56"/>
      <c r="K250" s="56"/>
    </row>
    <row r="251" spans="1:11" x14ac:dyDescent="0.25">
      <c r="A251" s="28"/>
      <c r="B251" s="26">
        <v>44.16</v>
      </c>
      <c r="J251" s="56"/>
      <c r="K251" s="56"/>
    </row>
    <row r="252" spans="1:11" x14ac:dyDescent="0.25">
      <c r="A252" s="28"/>
      <c r="B252" s="26">
        <v>45.86</v>
      </c>
      <c r="J252" s="56"/>
      <c r="K252" s="56"/>
    </row>
    <row r="253" spans="1:11" x14ac:dyDescent="0.25">
      <c r="A253" s="28"/>
      <c r="B253" s="26">
        <v>45.579000000000001</v>
      </c>
      <c r="J253" s="56"/>
      <c r="K253" s="56"/>
    </row>
    <row r="254" spans="1:11" x14ac:dyDescent="0.25">
      <c r="A254" s="28"/>
      <c r="B254" s="26">
        <v>45.186999999999998</v>
      </c>
      <c r="J254" s="56"/>
      <c r="K254" s="56"/>
    </row>
    <row r="255" spans="1:11" x14ac:dyDescent="0.25">
      <c r="A255" s="28"/>
      <c r="B255" s="26">
        <v>47.274000000000001</v>
      </c>
      <c r="J255" s="56"/>
      <c r="K255" s="56"/>
    </row>
    <row r="256" spans="1:11" x14ac:dyDescent="0.25">
      <c r="A256" s="28"/>
      <c r="B256" s="26">
        <v>49.381999999999998</v>
      </c>
      <c r="J256" s="56"/>
      <c r="K256" s="56"/>
    </row>
    <row r="257" spans="1:11" x14ac:dyDescent="0.25">
      <c r="A257" s="28"/>
      <c r="B257" s="26">
        <v>47.575000000000003</v>
      </c>
      <c r="J257" s="56"/>
      <c r="K257" s="56"/>
    </row>
    <row r="258" spans="1:11" x14ac:dyDescent="0.25">
      <c r="A258" s="28"/>
      <c r="B258" s="26">
        <v>43.36</v>
      </c>
    </row>
    <row r="259" spans="1:11" x14ac:dyDescent="0.25">
      <c r="A259" s="28"/>
      <c r="B259" s="26">
        <v>48.133000000000003</v>
      </c>
    </row>
    <row r="260" spans="1:11" x14ac:dyDescent="0.25">
      <c r="A260" s="28"/>
      <c r="B260" s="26">
        <v>46.939</v>
      </c>
    </row>
    <row r="261" spans="1:11" x14ac:dyDescent="0.25">
      <c r="A261" s="28"/>
      <c r="B261" s="26">
        <v>45.634999999999998</v>
      </c>
    </row>
    <row r="262" spans="1:11" x14ac:dyDescent="0.25">
      <c r="A262" s="28"/>
      <c r="B262" s="26">
        <v>47.207000000000001</v>
      </c>
    </row>
    <row r="263" spans="1:11" x14ac:dyDescent="0.25">
      <c r="A263" s="28"/>
      <c r="B263" s="26">
        <v>48.390999999999998</v>
      </c>
    </row>
    <row r="264" spans="1:11" x14ac:dyDescent="0.25">
      <c r="A264" s="28"/>
      <c r="B264" s="26">
        <v>50.35</v>
      </c>
    </row>
    <row r="265" spans="1:11" x14ac:dyDescent="0.25">
      <c r="A265" s="28"/>
      <c r="B265" s="26">
        <v>46.540999999999997</v>
      </c>
    </row>
    <row r="266" spans="1:11" x14ac:dyDescent="0.25">
      <c r="A266" s="28"/>
      <c r="B266" s="26">
        <v>44.03</v>
      </c>
    </row>
    <row r="267" spans="1:11" x14ac:dyDescent="0.25">
      <c r="A267" s="28"/>
      <c r="B267" s="26">
        <v>48.524999999999999</v>
      </c>
    </row>
    <row r="268" spans="1:11" x14ac:dyDescent="0.25">
      <c r="A268" s="28"/>
      <c r="B268" s="26">
        <v>45.430999999999997</v>
      </c>
    </row>
    <row r="269" spans="1:11" x14ac:dyDescent="0.25">
      <c r="A269" s="28"/>
      <c r="B269" s="26">
        <v>42.923999999999999</v>
      </c>
    </row>
    <row r="270" spans="1:11" x14ac:dyDescent="0.25">
      <c r="A270" s="28"/>
      <c r="B270" s="26">
        <v>47.097999999999999</v>
      </c>
    </row>
    <row r="271" spans="1:11" x14ac:dyDescent="0.25">
      <c r="A271" s="28"/>
      <c r="B271" s="26">
        <v>47.454000000000001</v>
      </c>
    </row>
    <row r="272" spans="1:11" x14ac:dyDescent="0.25">
      <c r="A272" s="28"/>
      <c r="B272" s="26">
        <v>48.493000000000002</v>
      </c>
    </row>
    <row r="273" spans="1:2" x14ac:dyDescent="0.25">
      <c r="A273" s="28"/>
      <c r="B273" s="26">
        <v>43.213000000000001</v>
      </c>
    </row>
    <row r="274" spans="1:2" x14ac:dyDescent="0.25">
      <c r="A274" s="28"/>
      <c r="B274" s="26">
        <v>44.481000000000002</v>
      </c>
    </row>
  </sheetData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Sumup</vt:lpstr>
      <vt:lpstr>RN199</vt:lpstr>
      <vt:lpstr>RN62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Rouvière</dc:creator>
  <cp:lastModifiedBy>USER19</cp:lastModifiedBy>
  <dcterms:created xsi:type="dcterms:W3CDTF">2024-08-06T09:30:51Z</dcterms:created>
  <dcterms:modified xsi:type="dcterms:W3CDTF">2025-02-19T10:43:43Z</dcterms:modified>
</cp:coreProperties>
</file>